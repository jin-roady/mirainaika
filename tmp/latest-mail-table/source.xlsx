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in/Roady.net Dropbox/矢吹仁/_jp-roady/01_業務/000_みらい内科クリニック/"/>
    </mc:Choice>
  </mc:AlternateContent>
  <xr:revisionPtr revIDLastSave="0" documentId="13_ncr:1_{91A7EC17-DCE9-084A-BDA8-67E24BD7CFA4}" xr6:coauthVersionLast="47" xr6:coauthVersionMax="47" xr10:uidLastSave="{00000000-0000-0000-0000-000000000000}"/>
  <bookViews>
    <workbookView xWindow="0" yWindow="600" windowWidth="28800" windowHeight="17400" activeTab="2" xr2:uid="{00000000-000D-0000-FFFF-FFFF00000000}"/>
  </bookViews>
  <sheets>
    <sheet name="概要" sheetId="1" r:id="rId1"/>
    <sheet name="見積対象内" sheetId="2" r:id="rId2"/>
    <sheet name="見積対象外" sheetId="3" r:id="rId3"/>
    <sheet name="メール一覧"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3" l="1"/>
  <c r="F21" i="2"/>
</calcChain>
</file>

<file path=xl/sharedStrings.xml><?xml version="1.0" encoding="utf-8"?>
<sst xmlns="http://schemas.openxmlformats.org/spreadsheetml/2006/main" count="599" uniqueCount="294">
  <si>
    <t>みらい内科クリニック 美容サイト改修 見積切り分け表（Notion最新反映版）</t>
  </si>
  <si>
    <t>見積提出済み対象</t>
  </si>
  <si>
    <t>お悩みサブページ作成、新サービス追加（6種）</t>
  </si>
  <si>
    <t>見積金額</t>
  </si>
  <si>
    <t>税別 255,000円 ／ 税込 280,500円</t>
  </si>
  <si>
    <t>見積対象内 件数</t>
  </si>
  <si>
    <t>17件（Notion小計値 17〜26.5h／再計算 27〜45.5h）</t>
  </si>
  <si>
    <t>見積対象外 件数</t>
  </si>
  <si>
    <t>切り分け基準</t>
  </si>
  <si>
    <t>　対象内</t>
  </si>
  <si>
    <t>お悩みサブページ作成、新サービス追加（6種）、それに伴うUI設計・コンテンツ編集・コーディング・仕様確認</t>
  </si>
  <si>
    <t>　対象外</t>
  </si>
  <si>
    <t>既存ページの文言修正、既存価格表の差し替え、MENU/FAQ/施術の流れ削除、注意事項追記、画像差し替え、問診票・同意書の配置変更</t>
  </si>
  <si>
    <t>　一部対象内</t>
  </si>
  <si>
    <t>新サービス追加に直接関わる要素は対象内。同一依頼内でも既存ページの削除・文言修正・差し替えは対象外として分ける</t>
  </si>
  <si>
    <t>修正⑧〜⑮について</t>
  </si>
  <si>
    <t>Notionでは1行に集約されていましたが、本表ではメール単位（⑧〜⑮の8件）に分割して掲載しています。</t>
  </si>
  <si>
    <t>エレクトロポレーション</t>
  </si>
  <si>
    <t>新サービス追加（6種）に含まれない既存サービスのため、美容改修⑤⑥・修正④はいずれも対象外に統一しました（Notionも更新済み）。</t>
  </si>
  <si>
    <t>小計値の注意</t>
  </si>
  <si>
    <t>備考</t>
  </si>
  <si>
    <t>各行の「依頼メール」列から該当のGmailを開けます（要ログイン）。「メール一覧」シートに全依頼メールのリンクを掲載。「2025年度」ページは切り分け対象から除外。工数は実作業前の目安。</t>
  </si>
  <si>
    <t>依頼日</t>
  </si>
  <si>
    <t>依頼・対象</t>
  </si>
  <si>
    <t>主な内容</t>
  </si>
  <si>
    <t>対応の有無</t>
  </si>
  <si>
    <t>見積区分</t>
  </si>
  <si>
    <t>工数目安(h)</t>
  </si>
  <si>
    <t>切り分け理由・備考</t>
  </si>
  <si>
    <t>依頼メール</t>
  </si>
  <si>
    <t>2026-04-26</t>
  </si>
  <si>
    <t>美容サイト修正①</t>
  </si>
  <si>
    <t>お悩みで探すの顔図・説明内で重複している悩み部位文言を削除</t>
  </si>
  <si>
    <t>対応済み</t>
  </si>
  <si>
    <t>対象内</t>
  </si>
  <si>
    <t>既存コンテンツの文言整理。見積対象の新規制作ではない。</t>
  </si>
  <si>
    <t>美容サイト修正②</t>
  </si>
  <si>
    <t>ダームエデンプロ／ヴェルヴェットビームの配置変更・追加</t>
  </si>
  <si>
    <t>対応済み（一部後続依頼で再変更あり）</t>
  </si>
  <si>
    <t>新サービス追加（6種）に関わる追加要素として扱う。</t>
  </si>
  <si>
    <t>美容サイト修正③</t>
  </si>
  <si>
    <t>美肌治療価格表へサーマニードルEVO、KOライト、マッサージピール、リバースピールを追加</t>
  </si>
  <si>
    <t>対応済み（価格未設定あり）</t>
  </si>
  <si>
    <t>新サービス追加（6種）に関わる価格表追加。</t>
  </si>
  <si>
    <t>美容サイト改修④</t>
  </si>
  <si>
    <t>お悩みで探すの悩み別説明文・対応施術名を全面整理</t>
  </si>
  <si>
    <t>お悩みサブページ作成・導線整理に該当。</t>
  </si>
  <si>
    <t>美容サイト修正⑤／KOライト</t>
  </si>
  <si>
    <t>KOライト効果文、施術の流れ削除、注意事項・リスク修正</t>
  </si>
  <si>
    <t>一部対応済み／要確認</t>
  </si>
  <si>
    <t>既存サービスページの文言・注意事項修正。</t>
  </si>
  <si>
    <t>美容サイト修正⑤</t>
  </si>
  <si>
    <t>2026-04-27</t>
  </si>
  <si>
    <t>美容サイト修正⑥</t>
  </si>
  <si>
    <t>サーマニードルEVO表記修正、マッサージピール削除、ダーマペン4追加</t>
  </si>
  <si>
    <t>対応済み（削除範囲は要確認）</t>
  </si>
  <si>
    <t>新サービス追加に関わる部分は対象内。既存文言修正・削除は対象外。</t>
  </si>
  <si>
    <t>2026-04-28</t>
  </si>
  <si>
    <t>美容サイト修正② 追加対応</t>
  </si>
  <si>
    <t>ウルティムガンへのダームエデンプロ追加、ダーマペン4価格表への追加</t>
  </si>
  <si>
    <t>対応済み（仮金額は保留）</t>
  </si>
  <si>
    <t>新サービス追加に関わる追加は対象内。既存ページ調整は対象外。</t>
  </si>
  <si>
    <t>Re: 美容サイト修正②（4/28）</t>
  </si>
  <si>
    <t>2026-05-12</t>
  </si>
  <si>
    <t>美容サイト修正② 追加依頼</t>
  </si>
  <si>
    <t>美容サイト改修④の完成、ダームエデンプロ削除、自由問診票リンク変更</t>
  </si>
  <si>
    <t>一部対応済み／一部確認中</t>
  </si>
  <si>
    <t>後続の既存ページ修正・削除・リンク差し替え。</t>
  </si>
  <si>
    <t>美容サイト修正②（スレッド）</t>
  </si>
  <si>
    <t>2026-05-19</t>
  </si>
  <si>
    <t>美容改修①</t>
  </si>
  <si>
    <t>美肌治療ページの本文差し替え・文章移動</t>
  </si>
  <si>
    <t>既存ページ本文の差し替え・移動。</t>
  </si>
  <si>
    <t>美容改修②</t>
  </si>
  <si>
    <t>マッサージピールのホームケア製品整理</t>
  </si>
  <si>
    <t>既存ページ内の掲載内容整理。</t>
  </si>
  <si>
    <t>美容改修③</t>
  </si>
  <si>
    <t>各画像の部位修正</t>
  </si>
  <si>
    <t>画像差し替え・既存コンテンツ修正。</t>
  </si>
  <si>
    <t>美容改修 価格</t>
  </si>
  <si>
    <t>美容施術価格の更新</t>
  </si>
  <si>
    <t>既存価格表の金額更新。</t>
  </si>
  <si>
    <t>2026-05-20</t>
  </si>
  <si>
    <t>美容改修④</t>
  </si>
  <si>
    <t>美肌治療FAQ削除</t>
  </si>
  <si>
    <t>既存ページ内の不要要素削除。</t>
  </si>
  <si>
    <t>2026-05-27</t>
  </si>
  <si>
    <t>お悩みで探す 修正</t>
  </si>
  <si>
    <t>説明文・対応施術・掲載順変更</t>
  </si>
  <si>
    <t>お悩みサブページ作成に関わる構成整理は対象内。既存文言調整は対象外。</t>
  </si>
  <si>
    <t>美容サイト改修④（関連）</t>
  </si>
  <si>
    <t>2026-06-12</t>
  </si>
  <si>
    <t>修正①</t>
  </si>
  <si>
    <t>ニキビ・ニキビ跡・肌質から「肌質」削除、対応施術にリバースピール追加</t>
  </si>
  <si>
    <t>既存のお悩みページ文言・対応施術の修正。</t>
  </si>
  <si>
    <t>修正③ KOライト</t>
  </si>
  <si>
    <t>超高輝度LEDへの表記修正、お悩み文言修正、MENU削除、価格表差し替え</t>
  </si>
  <si>
    <t>既存サービスページの表記修正・表示整理・価格表差し替え。</t>
  </si>
  <si>
    <t>2026-06-13</t>
  </si>
  <si>
    <t>修正⑦ マッサージピール</t>
  </si>
  <si>
    <t>施術の流れ削除、施術が受けられない方の文言変更、注意事項追加、価格表変更、MENU削除</t>
  </si>
  <si>
    <t>既存施術ページの文言・注意事項・価格表・MENU修正。</t>
  </si>
  <si>
    <t>2026-06-17</t>
  </si>
  <si>
    <t>修正⑧ リバースピール</t>
  </si>
  <si>
    <t>最初の説明文変更、「こんなお悩みの方に」修正、アフターケア製品の位置移動、注意点削除、注意事項を新規作成</t>
  </si>
  <si>
    <t>既存ページの説明文・お悩み・注意事項の修正。</t>
  </si>
  <si>
    <t>2026-06-18</t>
  </si>
  <si>
    <t>修正⑯ サーマニードルEVO</t>
  </si>
  <si>
    <t>追加薬剤表記変更、施術を受けられない方・注意点差し替え、サーマニードルEVO価格表を新しい美肌治療価格表へ変更</t>
  </si>
  <si>
    <t>既存サーマニードルEVOページの文言修正・注意事項修正・価格表差し替え。</t>
  </si>
  <si>
    <t>小計</t>
  </si>
  <si>
    <t>見積対象内・一部対象内</t>
  </si>
  <si>
    <t>お悩みサブページ作成、新サービス追加（6種）、それに関わる導線整理・追加要素</t>
  </si>
  <si>
    <t>-</t>
  </si>
  <si>
    <t>2026-05-23</t>
  </si>
  <si>
    <t>美容改修⑤</t>
  </si>
  <si>
    <t>エレクトロポレーション価格表へ肝斑コース追加</t>
  </si>
  <si>
    <t>対象外</t>
  </si>
  <si>
    <t>エレクトロポレーションは新サービス6種に含まれない既存サービス。既存価格表へのメニュー追記。</t>
  </si>
  <si>
    <t>2026-05-28</t>
  </si>
  <si>
    <t>美容改修⑥</t>
  </si>
  <si>
    <t>エレクトロポレーション料金表・各コース詳細更新</t>
  </si>
  <si>
    <t>エレクトロポレーションは既存サービス。既存ページ・既存料金表の更新。</t>
  </si>
  <si>
    <t>美容改修⑥（5/27）</t>
  </si>
  <si>
    <t>修正② ダーマペン4</t>
  </si>
  <si>
    <t>同意書削除、施術の流れ削除、ラインナップのピンクグロー英語表記削除、施術時に注意が必要な方修正、価格表にヴェルヴェットビーム・ダームエデンプロ追加</t>
  </si>
  <si>
    <t>既存ページの削除・文言修正・価格表調整。</t>
  </si>
  <si>
    <t>修正④ エレクトロポレーション</t>
  </si>
  <si>
    <t>説明文変更、クライオセラピー表記変更、料金・コース詳細見出し変更、デザイン変更</t>
  </si>
  <si>
    <t>既存施術ページの文言・見出し・デザイン調整。</t>
  </si>
  <si>
    <t>修正⑤ ウルティムガン</t>
  </si>
  <si>
    <t>施術の流れ削除、料金追加、注意点変更、治療間隔・回数変更、FAQ削除、美肌治療価格表挿入</t>
  </si>
  <si>
    <t>既存施術ページの削除・追記・価格表挿入が中心。</t>
  </si>
  <si>
    <t>修正⑥ リフテラV</t>
  </si>
  <si>
    <t>FAQ削除、美肌治療価格表を新しいものに変更</t>
  </si>
  <si>
    <t>既存ページのFAQ削除・価格表差し替え。</t>
  </si>
  <si>
    <t>修正⑨ ララドクター</t>
  </si>
  <si>
    <t>「ひりひり」をカタカナ表記へ、施術時間・間隔の太字を統一、美肌治療価格表を挿入</t>
  </si>
  <si>
    <t>既存ページの表記統一・価格表差し替え。</t>
  </si>
  <si>
    <t>修正⑩ ピアモ</t>
  </si>
  <si>
    <t>見出し変更、他施術との間隔削除、施術を受けられない方を移動、価格表挿入、施術頻度削除、文章追加</t>
  </si>
  <si>
    <t>既存ページの見出し・構成整理・価格表差し替え。</t>
  </si>
  <si>
    <t>修正⑪ ピコレーザー</t>
  </si>
  <si>
    <t>施術の流れをすべて削除</t>
  </si>
  <si>
    <t>既存ページの不要要素削除。</t>
  </si>
  <si>
    <t>修正⑫ レーザーフェイシャル</t>
  </si>
  <si>
    <t>副作用の一部削除、注意事項の項目と内容を追加</t>
  </si>
  <si>
    <t>既存ページの文言修正・注意事項追記。</t>
  </si>
  <si>
    <t>修正⑬ YAGレーザーシャワー</t>
  </si>
  <si>
    <t>対象症状の表記変更・追加、副作用削除、注意事項の項目と内容を追加</t>
  </si>
  <si>
    <t>修正⑭ YAGリフトアップレーザー</t>
  </si>
  <si>
    <t>注意事項の項目と内容を追加、施術が受けられない方の項目と内容を追加</t>
  </si>
  <si>
    <t>既存ページの注意事項・対象者の追記。</t>
  </si>
  <si>
    <t>修正⑮ CO2レーザー</t>
  </si>
  <si>
    <t>「治療を受けられない方」を料金前へ移動、美肌治療価格表を挿入、施術詳細・注意事項・副作用・リスクの修正</t>
  </si>
  <si>
    <t>既存ページの構成整理・価格表差し替え・文言修正。</t>
  </si>
  <si>
    <t>修正⑰ 共通の修正確認</t>
  </si>
  <si>
    <t>各施術内MENU削除、全施術へ美肌治療価格表追加、FAQ削除、美肌問診票差し替え、同意書配置変更</t>
  </si>
  <si>
    <t>全体共通の既存ページ修正・差し替え・配置変更。添付ファイル確認を含む。</t>
  </si>
  <si>
    <t>2026-06-27</t>
  </si>
  <si>
    <t>美容修正P1</t>
  </si>
  <si>
    <t>お悩み説明文削除、LHALAドクター敏感肌削除、各価格表修正・並び替え</t>
  </si>
  <si>
    <t>既存TOP・MENU・価格表の文言削除、表記整理、並び替えが中心。</t>
  </si>
  <si>
    <t>美容修正P2</t>
  </si>
  <si>
    <t>価格表の表示ずれ・回数削除、各施術の説明・同意書書体統一、FAQ削除</t>
  </si>
  <si>
    <t>未対応</t>
  </si>
  <si>
    <t>既存価格表の表示調整、既存施術ページの書体統一・FAQ削除。</t>
  </si>
  <si>
    <r>
      <rPr>
        <u/>
        <sz val="409"/>
        <color rgb="FF1155CC"/>
        <rFont val="MS Gothic"/>
        <family val="2"/>
      </rPr>
      <t>美容修正</t>
    </r>
    <r>
      <rPr>
        <u/>
        <sz val="409"/>
        <color rgb="FF1155CC"/>
        <rFont val="Arial"/>
      </rPr>
      <t>P2</t>
    </r>
  </si>
  <si>
    <t>2026-06-28</t>
  </si>
  <si>
    <t>美容修正P3</t>
  </si>
  <si>
    <t>美容問診票PDF差し替え、マッサージピール・リバースピール同意書追加、全ページの書類カード配色統一・下線削除</t>
  </si>
  <si>
    <t>添付PDF差し替え、同意書配置、全ページの問診票・同意書カードの配色統一を反映。</t>
  </si>
  <si>
    <t>ダイエット修正</t>
  </si>
  <si>
    <t>内服治療ダイエットのマンジャロ削除、ゼップバウンド料金・注意書き・News追加</t>
  </si>
  <si>
    <t>既存の内服治療ページの薬剤・料金・注意書き更新。現サイトと改修サイト両方が対象。</t>
  </si>
  <si>
    <t>ダイエット 修正</t>
  </si>
  <si>
    <t>2026-06-30</t>
  </si>
  <si>
    <t>美容修正P1 追加確認</t>
  </si>
  <si>
    <t>美容TOP・美肌治療ページ双方の「お悩みで探す」カード説明文削除、共通部分の形式統一</t>
  </si>
  <si>
    <t>6/30返信で、美容TOPと美肌治療の両方が対象と明確化された追加指示。</t>
  </si>
  <si>
    <t>Re: 美容修正P1</t>
  </si>
  <si>
    <t>美容修正P4</t>
  </si>
  <si>
    <t>ピコレーザーの説明文削除、スマホ表示調整、特徴文・同意書削除、メカニズム修正、美肌治療FAQ削除</t>
  </si>
  <si>
    <t>既存ピコレーザーページの文言削除・表示調整・FAQ削除。添付画像の詳細確認を含む。</t>
  </si>
  <si>
    <t>美容修正 P4</t>
  </si>
  <si>
    <t>美容修正P5</t>
  </si>
  <si>
    <t>サーマニードルEVOの副作用・リスク削除と追加、施術が受けられない方の一部削除</t>
  </si>
  <si>
    <t>既存ページの注意事項・リスク表記修正。添付画像の赤線箇所確認を含む。</t>
  </si>
  <si>
    <t>美容修正 P5</t>
  </si>
  <si>
    <t>美容修正P6</t>
  </si>
  <si>
    <t>マッサージピールのホームケア製品・受けられない方修正、リバースピールのアフターケア製品・受けられない方修正、ララドクターの構成移動</t>
  </si>
  <si>
    <t>複数既存施術ページの文言・構成・表示位置調整。添付画像の詳細確認を含む。</t>
  </si>
  <si>
    <t>美容修正 P6</t>
  </si>
  <si>
    <t>美容修正P7</t>
  </si>
  <si>
    <t>エレクトロポレーションの対象症状・副作用修正、お悩みに合わせたラインナップ下へ施術不可条件追加</t>
  </si>
  <si>
    <t>既存エレクトロポレーションページの文言修正・施術不可条件追加。添付画像の詳細確認を含む。</t>
  </si>
  <si>
    <t>美容修正 P7</t>
  </si>
  <si>
    <t>美容修正P8</t>
  </si>
  <si>
    <t>ハイドラシャワーの特徴変更、治療目安を2週間に1回へ変更、副作用変更、施術が受けられない方を追加</t>
  </si>
  <si>
    <t>既存ハイドラシャワーページの文言・治療目安・副作用・施術不可条件の修正。添付画像の詳細確認を含む。</t>
  </si>
  <si>
    <t>美容修正 P8</t>
  </si>
  <si>
    <t>2026-07-06</t>
  </si>
  <si>
    <t>ダイエット修正 追加対応</t>
  </si>
  <si>
    <t>6/28依頼のダイエット修正について、ニュースと現在HPの該当箇所を急ぎ対応</t>
  </si>
  <si>
    <t>厚生局・保健所からの指摘を受けた優先対応依頼。既存HPとニュースの緊急修正。</t>
  </si>
  <si>
    <t>6月28日のダイエットの件</t>
  </si>
  <si>
    <t>2026-07-10</t>
  </si>
  <si>
    <t>ウルティムガン追加修正</t>
  </si>
  <si>
    <t>施術詳細・料金表・ラインナップ・同意書カードの修正</t>
  </si>
  <si>
    <t>既存ページの文言・構成・書類導線・カード配色を修正。</t>
  </si>
  <si>
    <t>添付画像（2026-07-10）</t>
  </si>
  <si>
    <t>美容サイト ②（リフテラV）</t>
  </si>
  <si>
    <t>表題変更、施術詳細・副作用・注意点・施術不可条件の更新、新同意書への差し替え</t>
  </si>
  <si>
    <t>メール件名: 美容サイト ②。TDTテクノロジー後の詳細セクション追加を含む。</t>
  </si>
  <si>
    <t>2026-07-10 受信</t>
  </si>
  <si>
    <t>美容サイト ③（ピアモリフティング）</t>
  </si>
  <si>
    <t>表題・MENU表記・詳細・施術不可条件の更新、料金表削除、新同意書差し替え、価格表表記修正</t>
  </si>
  <si>
    <t>メール件名: 美容サイト ③。美肌治療価格表内のボディ表記修正を含む。</t>
  </si>
  <si>
    <t>美容サイト ④（ダーマペン4）</t>
  </si>
  <si>
    <t>施術詳細の並び・文言更新、ラインナップ見出し変更・並び替え、施術不可条件更新、注意項目削除、新同意書差し替え</t>
  </si>
  <si>
    <t>メール件名: 美容サイト ④。施術時に注意が必要な方セクションの削除を含む。</t>
  </si>
  <si>
    <t>美肌サイト ⑤（炭酸ガスレーザー）</t>
  </si>
  <si>
    <t>表題・施術不可見出しの変更、料金削除、アフターケア文言更新、美肌治療価格表の表示内容更新</t>
  </si>
  <si>
    <t>メール件名: 美容サイト ⑤。ほくろ・首イボの価格表を含む。</t>
  </si>
  <si>
    <t>美肌サイト ⑥（タトゥー除去）</t>
  </si>
  <si>
    <t>日焼け注意文の修正、説明文修正、注意事項・副作用・リスクの再構成、施術不可条件の追加</t>
  </si>
  <si>
    <t>メール件名: 美肌サイト ⑥。タトゥー除去レーザーのリスクセクション削除を含む。</t>
  </si>
  <si>
    <t>美肌サイト ⑦（レーザーフェイシャル）</t>
  </si>
  <si>
    <t>表題デザイン・説明文の更新、施術詳細・注意事項・副作用・リスクなどの追加</t>
  </si>
  <si>
    <t>メール件名: 美肌サイト ⑦。対象症状、施術時間、注意事項の追加を含む。</t>
  </si>
  <si>
    <t>美肌サイト ⑧（YAGレーザーシャワー）</t>
  </si>
  <si>
    <t>メール件名: 美肌サイト ⑧。対象症状、施術時間、注意事項の追加を含む。</t>
  </si>
  <si>
    <t>美肌サイト ⑨（YAGリフトアップレーザー）</t>
  </si>
  <si>
    <t>メール件名: 美肌サイト ⑨。対象症状、施術時間、注意事項の追加を含む。</t>
  </si>
  <si>
    <t>日付</t>
  </si>
  <si>
    <t>件名</t>
  </si>
  <si>
    <t>概要</t>
  </si>
  <si>
    <t>メールリンク</t>
  </si>
  <si>
    <t>2026-03-08</t>
  </si>
  <si>
    <t>美容ページの改修</t>
  </si>
  <si>
    <t>改修内容の初回送付</t>
  </si>
  <si>
    <t>メールを開く</t>
  </si>
  <si>
    <t>2026-03-19</t>
  </si>
  <si>
    <t>美容HP改修について</t>
  </si>
  <si>
    <t>改修イメージ参考</t>
  </si>
  <si>
    <t>お悩みで探す 重複文言削除</t>
  </si>
  <si>
    <t>ダームエデンプロ／ヴェルヴェットビーム配置変更</t>
  </si>
  <si>
    <t>美肌治療価格表へ4施術追加</t>
  </si>
  <si>
    <t>お悩みで探す 説明文・対応施術全面整理</t>
  </si>
  <si>
    <t>KOライト効果文・注意事項修正</t>
  </si>
  <si>
    <t>サーマニードルEVO表記・マッサージピール削除・ダーマペン4追加</t>
  </si>
  <si>
    <t>Re: 美容サイト修正②（追加対応）</t>
  </si>
  <si>
    <t>ウルティムガンへダームエデンプロ追加等</t>
  </si>
  <si>
    <t>本サイトの変更依頼です</t>
  </si>
  <si>
    <t>診療報酬改定に伴う加算表記変更</t>
  </si>
  <si>
    <t>美肌治療ページ本文差し替え・移動</t>
  </si>
  <si>
    <t>マッサージピール ホームケア製品整理</t>
  </si>
  <si>
    <t>エレクトロポレーション料金表・コース詳細更新</t>
  </si>
  <si>
    <t>「肌質」削除、対応施術にリバースピール追加</t>
  </si>
  <si>
    <t>同意書・施術の流れ削除、注意事項・価格表追加</t>
  </si>
  <si>
    <t>超高輝度LED表記、MENU削除、価格表差し替え</t>
  </si>
  <si>
    <t>説明文・見出し・デザイン変更</t>
  </si>
  <si>
    <t>施術の流れ削除、料金追加、価格表挿入</t>
  </si>
  <si>
    <t>FAQ削除、美肌治療価格表変更</t>
  </si>
  <si>
    <t>施術の流れ削除、注意事項追加、価格表変更</t>
  </si>
  <si>
    <t>説明文・お悩み・注意事項修正</t>
  </si>
  <si>
    <t>ヒリヒリ表記、太字統一、価格表追加</t>
  </si>
  <si>
    <t>見出し変更、施術間隔削除、価格表追加</t>
  </si>
  <si>
    <t>施術の流れ全削除</t>
  </si>
  <si>
    <t>副作用削除、注意事項追加</t>
  </si>
  <si>
    <t>対象症状変更、注意事項追加</t>
  </si>
  <si>
    <t>注意事項・施術が受けられない方追加</t>
  </si>
  <si>
    <t>項目移動、価格表追加、施術詳細修正</t>
  </si>
  <si>
    <t>追加薬剤表記、注意点差し替え、価格表変更</t>
  </si>
  <si>
    <t>MENU/FAQ削除、価格表追加、問診票・同意書変更</t>
  </si>
  <si>
    <t>お悩み説明文削除、MENU・価格表修正</t>
  </si>
  <si>
    <t>価格表表示調整、書体統一、FAQ削除</t>
  </si>
  <si>
    <t>美容問診票PDF、同意書追加、表示確認</t>
  </si>
  <si>
    <t>マンジャロ削除、ゼップバウンドへ変更</t>
  </si>
  <si>
    <t>36件（直近追加2件を含む）</t>
  </si>
  <si>
    <t>Notionの小計行は再分類後に再計算されていないため、本表では各シートに「（参考）再計算合計」を併記しています。追加依頼（美容修正P1〜P3、ダイエット修正、修正後の修正①②）を反映済み。</t>
  </si>
  <si>
    <t>2026-07-16</t>
  </si>
  <si>
    <t>修正後の修正①</t>
  </si>
  <si>
    <t>マッサージピールの項目順を変更。サーマニードルEVO・ピアモリフティングの美肌治療価格表をスマホ縦画面で見やすく調整</t>
  </si>
  <si>
    <t>既存ページの項目並び替え・既存価格表のモバイル表示調整。新規サービス追加は含まれない。</t>
  </si>
  <si>
    <t>2026-07-16 受信</t>
  </si>
  <si>
    <t>修正後の修正②</t>
  </si>
  <si>
    <t>CO2レーザーのスマホ表示、共通価格表の回数表記、全施術の書類カード書体・表記・保護者同意書・問診票、FAQ表示を修正</t>
  </si>
  <si>
    <t>既存ページの表示・書体・文言・価格表・書類カード・FAQの統一。新規サービス追加は含まれない。</t>
  </si>
  <si>
    <t>見積対象外</t>
  </si>
  <si>
    <t>既存ページ修正、文言差し替え、価格表差し替え、MENU/FAQ削除、注意事項追加、画像・添付差し替え等</t>
  </si>
  <si>
    <t>マッサージピールの項目順、サーマニードルEVO・ピアモのスマホ表示調整</t>
  </si>
  <si>
    <t>CO2・共通価格表・書類カード・保護者同意書・FAQの修正</t>
  </si>
  <si>
    <r>
      <rPr>
        <sz val="10"/>
        <color rgb="FF1155CC"/>
        <rFont val="MS Gothic"/>
        <family val="2"/>
        <charset val="128"/>
      </rPr>
      <t>美容修正</t>
    </r>
    <r>
      <rPr>
        <sz val="10"/>
        <color rgb="FF1155CC"/>
        <rFont val="Arial"/>
      </rPr>
      <t>P3</t>
    </r>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</si>
</sst>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ＭＳ Ｐゴシック"/>
    </font>
    <font>
      <b/>
      <sz val="11"/>
      <color rgb="FFFFFFFF"/>
      <name val="Arial"/>
    </font>
    <font>
      <sz val="10"/>
      <name val="Arial"/>
    </font>
    <font>
      <sz val="10"/>
      <color rgb="FF1155CC"/>
      <name val="Arial"/>
    </font>
    <font>
      <b/>
      <sz val="10"/>
      <name val="Arial"/>
    </font>
    <font>
      <b/>
      <sz val="14"/>
      <name val="Arial"/>
    </font>
    <font>
      <sz val="10"/>
      <name val="MS Gothic"/>
      <family val="2"/>
      <charset val="128"/>
    </font>
    <font>
      <sz val="10"/>
      <name val="Arial"/>
    </font>
    <font>
      <b/>
      <sz val="11"/>
      <color rgb="FFFFFFFF"/>
      <name val="Arial"/>
    </font>
    <font>
      <sz val="12"/>
      <color theme="10"/>
      <name val="ＭＳ Ｐゴシック"/>
      <charset val="128"/>
    </font>
    <font>
      <sz val="12"/>
      <color theme="10"/>
      <name val="ＭＳ Ｐゴシック"/>
      <charset val="128"/>
    </font>
    <font>
      <sz val="10"/>
      <color rgb="FF1155CC"/>
      <name val="Arial"/>
    </font>
    <font>
      <sz val="10"/>
      <name val="Arial"/>
    </font>
    <font>
      <u/>
      <sz val="409"/>
      <color rgb="FF1155CC"/>
      <name val="MS Gothic"/>
      <family val="2"/>
    </font>
    <font>
      <u/>
      <sz val="409"/>
      <color rgb="FF1155CC"/>
      <name val="Arial"/>
    </font>
    <font>
      <sz val="6"/>
      <name val="07NikumaruFont"/>
      <family val="3"/>
      <charset val="128"/>
    </font>
    <font>
      <sz val="10"/>
      <color rgb="FF1155CC"/>
      <name val="MS Gothic"/>
      <family val="2"/>
      <charset val="128"/>
    </font>
    <font>
      <sz val="10"/>
      <color rgb="FF1155CC"/>
      <name val="Arial"/>
      <family val="2"/>
      <charset val="128"/>
    </font>
  </fonts>
  <fills count="6">
    <fill>
      <patternFill patternType="none"/>
    </fill>
    <fill>
      <patternFill patternType="gray125"/>
    </fill>
    <fill>
      <patternFill patternType="solid">
        <fgColor rgb="FF2E7D32"/>
      </patternFill>
    </fill>
    <fill>
      <patternFill patternType="solid">
        <fgColor rgb="FFC8E6C9"/>
      </patternFill>
    </fill>
    <fill>
      <patternFill patternType="solid">
        <fgColor rgb="FFC62828"/>
      </patternFill>
    </fill>
    <fill>
      <patternFill patternType="solid">
        <fgColor rgb="FF37474F"/>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2">
    <xf numFmtId="0" fontId="0" fillId="0" borderId="0"/>
    <xf numFmtId="0" fontId="10" fillId="0" borderId="0"/>
  </cellStyleXfs>
  <cellXfs count="19">
    <xf numFmtId="0" fontId="0" fillId="0" borderId="0" xfId="0"/>
    <xf numFmtId="0" fontId="5" fillId="0" borderId="0" xfId="0" applyFont="1"/>
    <xf numFmtId="0" fontId="4" fillId="0" borderId="0" xfId="0" applyFont="1" applyAlignment="1">
      <alignment vertical="top"/>
    </xf>
    <xf numFmtId="0" fontId="2" fillId="0" borderId="0" xfId="0" applyFont="1" applyAlignment="1">
      <alignment vertical="top" wrapText="1"/>
    </xf>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vertical="top"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7" fillId="0" borderId="1" xfId="0" applyFont="1" applyBorder="1" applyAlignment="1">
      <alignment vertical="top" wrapText="1"/>
    </xf>
    <xf numFmtId="0" fontId="8" fillId="4" borderId="1" xfId="0" applyFont="1" applyFill="1" applyBorder="1" applyAlignment="1">
      <alignment horizontal="center" vertical="center" wrapText="1"/>
    </xf>
    <xf numFmtId="0" fontId="6" fillId="0" borderId="1" xfId="0" applyFont="1" applyBorder="1" applyAlignment="1">
      <alignment vertical="top" wrapText="1"/>
    </xf>
    <xf numFmtId="0" fontId="8" fillId="2" borderId="1" xfId="0" applyFont="1" applyFill="1" applyBorder="1" applyAlignment="1">
      <alignment horizontal="center" vertical="center" wrapText="1"/>
    </xf>
    <xf numFmtId="0" fontId="9" fillId="0" borderId="0" xfId="1" applyFont="1"/>
    <xf numFmtId="0" fontId="10" fillId="0" borderId="0" xfId="1"/>
    <xf numFmtId="0" fontId="11" fillId="0" borderId="1" xfId="0" applyFont="1" applyBorder="1" applyAlignment="1">
      <alignment vertical="top" wrapText="1"/>
    </xf>
    <xf numFmtId="0" fontId="12" fillId="0" borderId="0" xfId="0" applyFont="1" applyAlignment="1">
      <alignment vertical="top" wrapText="1"/>
    </xf>
    <xf numFmtId="0" fontId="17" fillId="0" borderId="1" xfId="0" applyFont="1" applyBorder="1" applyAlignment="1">
      <alignment vertical="top" wrapText="1"/>
    </xf>
  </cellXfs>
  <cellStyles count="2">
    <cellStyle name="ハイパーリンク"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mail.google.com/mail/u/0/" TargetMode="External"/><Relationship Id="rId13" Type="http://schemas.openxmlformats.org/officeDocument/2006/relationships/hyperlink" Target="https://mail.google.com/mail/u/0/" TargetMode="External"/><Relationship Id="rId18" Type="http://schemas.openxmlformats.org/officeDocument/2006/relationships/hyperlink" Target="https://mail.google.com/mail/u/0/" TargetMode="External"/><Relationship Id="rId3" Type="http://schemas.openxmlformats.org/officeDocument/2006/relationships/hyperlink" Target="https://mail.google.com/mail/u/0/" TargetMode="External"/><Relationship Id="rId7" Type="http://schemas.openxmlformats.org/officeDocument/2006/relationships/hyperlink" Target="https://mail.google.com/mail/u/0/" TargetMode="External"/><Relationship Id="rId12" Type="http://schemas.openxmlformats.org/officeDocument/2006/relationships/hyperlink" Target="https://mail.google.com/mail/u/0/" TargetMode="External"/><Relationship Id="rId17" Type="http://schemas.openxmlformats.org/officeDocument/2006/relationships/hyperlink" Target="https://mail.google.com/mail/u/0/" TargetMode="External"/><Relationship Id="rId2" Type="http://schemas.openxmlformats.org/officeDocument/2006/relationships/hyperlink" Target="https://mail.google.com/mail/u/0/" TargetMode="External"/><Relationship Id="rId16" Type="http://schemas.openxmlformats.org/officeDocument/2006/relationships/hyperlink" Target="https://mail.google.com/mail/u/0/" TargetMode="External"/><Relationship Id="rId1" Type="http://schemas.openxmlformats.org/officeDocument/2006/relationships/hyperlink" Target="https://mail.google.com/mail/u/0/" TargetMode="External"/><Relationship Id="rId6" Type="http://schemas.openxmlformats.org/officeDocument/2006/relationships/hyperlink" Target="https://mail.google.com/mail/u/0/" TargetMode="External"/><Relationship Id="rId11" Type="http://schemas.openxmlformats.org/officeDocument/2006/relationships/hyperlink" Target="https://mail.google.com/mail/u/0/" TargetMode="External"/><Relationship Id="rId5" Type="http://schemas.openxmlformats.org/officeDocument/2006/relationships/hyperlink" Target="https://mail.google.com/mail/u/0/" TargetMode="External"/><Relationship Id="rId15" Type="http://schemas.openxmlformats.org/officeDocument/2006/relationships/hyperlink" Target="https://mail.google.com/mail/u/0/" TargetMode="External"/><Relationship Id="rId10" Type="http://schemas.openxmlformats.org/officeDocument/2006/relationships/hyperlink" Target="https://mail.google.com/mail/u/0/" TargetMode="External"/><Relationship Id="rId19" Type="http://schemas.openxmlformats.org/officeDocument/2006/relationships/hyperlink" Target="https://mail.google.com/mail/u/0/" TargetMode="External"/><Relationship Id="rId4" Type="http://schemas.openxmlformats.org/officeDocument/2006/relationships/hyperlink" Target="https://mail.google.com/mail/u/0/" TargetMode="External"/><Relationship Id="rId9" Type="http://schemas.openxmlformats.org/officeDocument/2006/relationships/hyperlink" Target="https://mail.google.com/mail/u/0/" TargetMode="External"/><Relationship Id="rId14" Type="http://schemas.openxmlformats.org/officeDocument/2006/relationships/hyperlink" Target="https://mail.google.com/mail/u/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ail.google.com/mail/u/0/" TargetMode="External"/><Relationship Id="rId13" Type="http://schemas.openxmlformats.org/officeDocument/2006/relationships/hyperlink" Target="https://mail.google.com/mail/u/0/" TargetMode="External"/><Relationship Id="rId18" Type="http://schemas.openxmlformats.org/officeDocument/2006/relationships/hyperlink" Target="https://mail.google.com/mail/" TargetMode="External"/><Relationship Id="rId3" Type="http://schemas.openxmlformats.org/officeDocument/2006/relationships/hyperlink" Target="https://mail.google.com/mail/u/0/" TargetMode="External"/><Relationship Id="rId21" Type="http://schemas.openxmlformats.org/officeDocument/2006/relationships/hyperlink" Target="https://mail.google.com/mail/" TargetMode="External"/><Relationship Id="rId7" Type="http://schemas.openxmlformats.org/officeDocument/2006/relationships/hyperlink" Target="https://mail.google.com/mail/u/0/" TargetMode="External"/><Relationship Id="rId12" Type="http://schemas.openxmlformats.org/officeDocument/2006/relationships/hyperlink" Target="https://mail.google.com/mail/u/0/" TargetMode="External"/><Relationship Id="rId17" Type="http://schemas.openxmlformats.org/officeDocument/2006/relationships/hyperlink" Target="https://mail.google.com/mail/" TargetMode="External"/><Relationship Id="rId2" Type="http://schemas.openxmlformats.org/officeDocument/2006/relationships/hyperlink" Target="https://mail.google.com/mail/u/0/" TargetMode="External"/><Relationship Id="rId16" Type="http://schemas.openxmlformats.org/officeDocument/2006/relationships/hyperlink" Target="https://mail.google.com/mail/" TargetMode="External"/><Relationship Id="rId20" Type="http://schemas.openxmlformats.org/officeDocument/2006/relationships/hyperlink" Target="https://mail.google.com/mail/" TargetMode="External"/><Relationship Id="rId1" Type="http://schemas.openxmlformats.org/officeDocument/2006/relationships/hyperlink" Target="https://mail.google.com/mail/u/0/" TargetMode="External"/><Relationship Id="rId6" Type="http://schemas.openxmlformats.org/officeDocument/2006/relationships/hyperlink" Target="https://mail.google.com/mail/u/0/" TargetMode="External"/><Relationship Id="rId11" Type="http://schemas.openxmlformats.org/officeDocument/2006/relationships/hyperlink" Target="https://mail.google.com/mail/u/0/" TargetMode="External"/><Relationship Id="rId5" Type="http://schemas.openxmlformats.org/officeDocument/2006/relationships/hyperlink" Target="https://mail.google.com/mail/u/0/" TargetMode="External"/><Relationship Id="rId15" Type="http://schemas.openxmlformats.org/officeDocument/2006/relationships/hyperlink" Target="https://mail.google.com/mail/" TargetMode="External"/><Relationship Id="rId10" Type="http://schemas.openxmlformats.org/officeDocument/2006/relationships/hyperlink" Target="https://mail.google.com/mail/u/0/" TargetMode="External"/><Relationship Id="rId19" Type="http://schemas.openxmlformats.org/officeDocument/2006/relationships/hyperlink" Target="https://mail.google.com/mail/" TargetMode="External"/><Relationship Id="rId4" Type="http://schemas.openxmlformats.org/officeDocument/2006/relationships/hyperlink" Target="https://mail.google.com/mail/u/0/" TargetMode="External"/><Relationship Id="rId9" Type="http://schemas.openxmlformats.org/officeDocument/2006/relationships/hyperlink" Target="https://mail.google.com/mail/u/0/" TargetMode="External"/><Relationship Id="rId14" Type="http://schemas.openxmlformats.org/officeDocument/2006/relationships/hyperlink" Target="https://mail.google.com/mail/u/0/"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mail.google.com/mail/u/0/" TargetMode="External"/><Relationship Id="rId18" Type="http://schemas.openxmlformats.org/officeDocument/2006/relationships/hyperlink" Target="https://mail.google.com/mail/u/0/" TargetMode="External"/><Relationship Id="rId26" Type="http://schemas.openxmlformats.org/officeDocument/2006/relationships/hyperlink" Target="https://mail.google.com/mail/u/0/" TargetMode="External"/><Relationship Id="rId21" Type="http://schemas.openxmlformats.org/officeDocument/2006/relationships/hyperlink" Target="https://mail.google.com/mail/u/0/" TargetMode="External"/><Relationship Id="rId34" Type="http://schemas.openxmlformats.org/officeDocument/2006/relationships/hyperlink" Target="https://mail.google.com/mail/u/0/" TargetMode="External"/><Relationship Id="rId7" Type="http://schemas.openxmlformats.org/officeDocument/2006/relationships/hyperlink" Target="https://mail.google.com/mail/u/0/" TargetMode="External"/><Relationship Id="rId12" Type="http://schemas.openxmlformats.org/officeDocument/2006/relationships/hyperlink" Target="https://mail.google.com/mail/u/0/" TargetMode="External"/><Relationship Id="rId17" Type="http://schemas.openxmlformats.org/officeDocument/2006/relationships/hyperlink" Target="https://mail.google.com/mail/u/0/" TargetMode="External"/><Relationship Id="rId25" Type="http://schemas.openxmlformats.org/officeDocument/2006/relationships/hyperlink" Target="https://mail.google.com/mail/u/0/" TargetMode="External"/><Relationship Id="rId33" Type="http://schemas.openxmlformats.org/officeDocument/2006/relationships/hyperlink" Target="https://mail.google.com/mail/u/0/" TargetMode="External"/><Relationship Id="rId38" Type="http://schemas.openxmlformats.org/officeDocument/2006/relationships/hyperlink" Target="https://mail.google.com/mail/" TargetMode="External"/><Relationship Id="rId2" Type="http://schemas.openxmlformats.org/officeDocument/2006/relationships/hyperlink" Target="https://mail.google.com/mail/u/0/" TargetMode="External"/><Relationship Id="rId16" Type="http://schemas.openxmlformats.org/officeDocument/2006/relationships/hyperlink" Target="https://mail.google.com/mail/u/0/" TargetMode="External"/><Relationship Id="rId20" Type="http://schemas.openxmlformats.org/officeDocument/2006/relationships/hyperlink" Target="https://mail.google.com/mail/u/0/" TargetMode="External"/><Relationship Id="rId29" Type="http://schemas.openxmlformats.org/officeDocument/2006/relationships/hyperlink" Target="https://mail.google.com/mail/u/0/" TargetMode="External"/><Relationship Id="rId1" Type="http://schemas.openxmlformats.org/officeDocument/2006/relationships/hyperlink" Target="https://mail.google.com/mail/u/0/" TargetMode="External"/><Relationship Id="rId6" Type="http://schemas.openxmlformats.org/officeDocument/2006/relationships/hyperlink" Target="https://mail.google.com/mail/u/0/" TargetMode="External"/><Relationship Id="rId11" Type="http://schemas.openxmlformats.org/officeDocument/2006/relationships/hyperlink" Target="https://mail.google.com/mail/u/0/" TargetMode="External"/><Relationship Id="rId24" Type="http://schemas.openxmlformats.org/officeDocument/2006/relationships/hyperlink" Target="https://mail.google.com/mail/u/0/" TargetMode="External"/><Relationship Id="rId32" Type="http://schemas.openxmlformats.org/officeDocument/2006/relationships/hyperlink" Target="https://mail.google.com/mail/u/0/" TargetMode="External"/><Relationship Id="rId37" Type="http://schemas.openxmlformats.org/officeDocument/2006/relationships/hyperlink" Target="https://mail.google.com/mail/" TargetMode="External"/><Relationship Id="rId5" Type="http://schemas.openxmlformats.org/officeDocument/2006/relationships/hyperlink" Target="https://mail.google.com/mail/u/0/" TargetMode="External"/><Relationship Id="rId15" Type="http://schemas.openxmlformats.org/officeDocument/2006/relationships/hyperlink" Target="https://mail.google.com/mail/u/0/" TargetMode="External"/><Relationship Id="rId23" Type="http://schemas.openxmlformats.org/officeDocument/2006/relationships/hyperlink" Target="https://mail.google.com/mail/u/0/" TargetMode="External"/><Relationship Id="rId28" Type="http://schemas.openxmlformats.org/officeDocument/2006/relationships/hyperlink" Target="https://mail.google.com/mail/u/0/" TargetMode="External"/><Relationship Id="rId36" Type="http://schemas.openxmlformats.org/officeDocument/2006/relationships/hyperlink" Target="https://mail.google.com/mail/" TargetMode="External"/><Relationship Id="rId10" Type="http://schemas.openxmlformats.org/officeDocument/2006/relationships/hyperlink" Target="https://mail.google.com/mail/u/0/" TargetMode="External"/><Relationship Id="rId19" Type="http://schemas.openxmlformats.org/officeDocument/2006/relationships/hyperlink" Target="https://mail.google.com/mail/u/0/" TargetMode="External"/><Relationship Id="rId31" Type="http://schemas.openxmlformats.org/officeDocument/2006/relationships/hyperlink" Target="https://mail.google.com/mail/u/0/" TargetMode="External"/><Relationship Id="rId4" Type="http://schemas.openxmlformats.org/officeDocument/2006/relationships/hyperlink" Target="https://mail.google.com/mail/u/0/" TargetMode="External"/><Relationship Id="rId9" Type="http://schemas.openxmlformats.org/officeDocument/2006/relationships/hyperlink" Target="https://mail.google.com/mail/u/0/" TargetMode="External"/><Relationship Id="rId14" Type="http://schemas.openxmlformats.org/officeDocument/2006/relationships/hyperlink" Target="https://mail.google.com/mail/u/0/" TargetMode="External"/><Relationship Id="rId22" Type="http://schemas.openxmlformats.org/officeDocument/2006/relationships/hyperlink" Target="https://mail.google.com/mail/u/0/" TargetMode="External"/><Relationship Id="rId27" Type="http://schemas.openxmlformats.org/officeDocument/2006/relationships/hyperlink" Target="https://mail.google.com/mail/u/0/" TargetMode="External"/><Relationship Id="rId30" Type="http://schemas.openxmlformats.org/officeDocument/2006/relationships/hyperlink" Target="https://mail.google.com/mail/u/0/" TargetMode="External"/><Relationship Id="rId35" Type="http://schemas.openxmlformats.org/officeDocument/2006/relationships/hyperlink" Target="https://mail.google.com/mail/" TargetMode="External"/><Relationship Id="rId8" Type="http://schemas.openxmlformats.org/officeDocument/2006/relationships/hyperlink" Target="https://mail.google.com/mail/u/0/" TargetMode="External"/><Relationship Id="rId3" Type="http://schemas.openxmlformats.org/officeDocument/2006/relationships/hyperlink" Target="https://mail.google.com/mail/u/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heetViews>
  <sheetFormatPr baseColWidth="10" defaultColWidth="8.83203125" defaultRowHeight="14"/>
  <cols>
    <col min="1" max="1" width="22" customWidth="1"/>
    <col min="2" max="2" width="80" customWidth="1"/>
  </cols>
  <sheetData>
    <row r="1" spans="1:2" ht="42.75" customHeight="1">
      <c r="A1" s="1" t="s">
        <v>0</v>
      </c>
    </row>
    <row r="2" spans="1:2">
      <c r="A2" s="2"/>
      <c r="B2" s="3"/>
    </row>
    <row r="3" spans="1:2">
      <c r="A3" s="2" t="s">
        <v>1</v>
      </c>
      <c r="B3" s="3" t="s">
        <v>2</v>
      </c>
    </row>
    <row r="4" spans="1:2">
      <c r="A4" s="2" t="s">
        <v>3</v>
      </c>
      <c r="B4" s="3" t="s">
        <v>4</v>
      </c>
    </row>
    <row r="5" spans="1:2">
      <c r="A5" s="2" t="s">
        <v>5</v>
      </c>
      <c r="B5" s="3" t="s">
        <v>6</v>
      </c>
    </row>
    <row r="6" spans="1:2">
      <c r="A6" s="2" t="s">
        <v>7</v>
      </c>
      <c r="B6" s="3" t="s">
        <v>279</v>
      </c>
    </row>
    <row r="7" spans="1:2">
      <c r="A7" s="2"/>
      <c r="B7" s="3"/>
    </row>
    <row r="8" spans="1:2">
      <c r="A8" s="2" t="s">
        <v>8</v>
      </c>
      <c r="B8" s="3"/>
    </row>
    <row r="9" spans="1:2" ht="66.25" customHeight="1">
      <c r="A9" s="2" t="s">
        <v>9</v>
      </c>
      <c r="B9" s="3" t="s">
        <v>10</v>
      </c>
    </row>
    <row r="10" spans="1:2" ht="66.25" customHeight="1">
      <c r="A10" s="2" t="s">
        <v>11</v>
      </c>
      <c r="B10" s="3" t="s">
        <v>12</v>
      </c>
    </row>
    <row r="11" spans="1:2" ht="66.25" customHeight="1">
      <c r="A11" s="2" t="s">
        <v>13</v>
      </c>
      <c r="B11" s="3" t="s">
        <v>14</v>
      </c>
    </row>
    <row r="12" spans="1:2" ht="66.25" customHeight="1">
      <c r="A12" s="2" t="s">
        <v>15</v>
      </c>
      <c r="B12" s="3" t="s">
        <v>16</v>
      </c>
    </row>
    <row r="13" spans="1:2" ht="66.25" customHeight="1">
      <c r="A13" s="2" t="s">
        <v>17</v>
      </c>
      <c r="B13" s="3" t="s">
        <v>18</v>
      </c>
    </row>
    <row r="14" spans="1:2" ht="66.25" customHeight="1">
      <c r="A14" s="2" t="s">
        <v>19</v>
      </c>
      <c r="B14" s="3" t="s">
        <v>280</v>
      </c>
    </row>
    <row r="15" spans="1:2" ht="66.25" customHeight="1">
      <c r="A15" s="2" t="s">
        <v>20</v>
      </c>
      <c r="B15" s="3" t="s">
        <v>21</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topLeftCell="A15" workbookViewId="0"/>
  </sheetViews>
  <sheetFormatPr baseColWidth="10" defaultColWidth="8.83203125" defaultRowHeight="14"/>
  <cols>
    <col min="1" max="1" width="20" customWidth="1"/>
    <col min="2" max="2" width="22" customWidth="1"/>
    <col min="3" max="3" width="42" customWidth="1"/>
    <col min="4" max="4" width="22" customWidth="1"/>
    <col min="5" max="5" width="11" customWidth="1"/>
    <col min="6" max="6" width="12" customWidth="1"/>
    <col min="7" max="7" width="36" customWidth="1"/>
    <col min="8" max="8" width="26" customWidth="1"/>
  </cols>
  <sheetData>
    <row r="1" spans="1:8" ht="35.75" customHeight="1">
      <c r="A1" s="4" t="s">
        <v>22</v>
      </c>
      <c r="B1" s="4" t="s">
        <v>23</v>
      </c>
      <c r="C1" s="4" t="s">
        <v>24</v>
      </c>
      <c r="D1" s="4" t="s">
        <v>25</v>
      </c>
      <c r="E1" s="4" t="s">
        <v>26</v>
      </c>
      <c r="F1" s="13" t="s">
        <v>27</v>
      </c>
      <c r="G1" s="4" t="s">
        <v>28</v>
      </c>
      <c r="H1" s="4" t="s">
        <v>29</v>
      </c>
    </row>
    <row r="2" spans="1:8" ht="66.25" customHeight="1">
      <c r="A2" s="5" t="s">
        <v>30</v>
      </c>
      <c r="B2" s="5" t="s">
        <v>31</v>
      </c>
      <c r="C2" s="5" t="s">
        <v>32</v>
      </c>
      <c r="D2" s="5" t="s">
        <v>33</v>
      </c>
      <c r="E2" s="5" t="s">
        <v>34</v>
      </c>
      <c r="F2" s="5">
        <v>0.5</v>
      </c>
      <c r="G2" s="5" t="s">
        <v>35</v>
      </c>
      <c r="H2" s="6" t="s">
        <v>31</v>
      </c>
    </row>
    <row r="3" spans="1:8" ht="66.25" customHeight="1">
      <c r="A3" s="5" t="s">
        <v>30</v>
      </c>
      <c r="B3" s="5" t="s">
        <v>36</v>
      </c>
      <c r="C3" s="5" t="s">
        <v>37</v>
      </c>
      <c r="D3" s="5" t="s">
        <v>38</v>
      </c>
      <c r="E3" s="5" t="s">
        <v>34</v>
      </c>
      <c r="F3" s="5">
        <v>2</v>
      </c>
      <c r="G3" s="5" t="s">
        <v>39</v>
      </c>
      <c r="H3" s="6" t="s">
        <v>36</v>
      </c>
    </row>
    <row r="4" spans="1:8" ht="66.25" customHeight="1">
      <c r="A4" s="5" t="s">
        <v>30</v>
      </c>
      <c r="B4" s="5" t="s">
        <v>40</v>
      </c>
      <c r="C4" s="5" t="s">
        <v>41</v>
      </c>
      <c r="D4" s="5" t="s">
        <v>42</v>
      </c>
      <c r="E4" s="5" t="s">
        <v>34</v>
      </c>
      <c r="F4" s="5">
        <v>2</v>
      </c>
      <c r="G4" s="5" t="s">
        <v>43</v>
      </c>
      <c r="H4" s="6" t="s">
        <v>40</v>
      </c>
    </row>
    <row r="5" spans="1:8">
      <c r="A5" s="5" t="s">
        <v>30</v>
      </c>
      <c r="B5" s="5" t="s">
        <v>44</v>
      </c>
      <c r="C5" s="5" t="s">
        <v>45</v>
      </c>
      <c r="D5" s="5" t="s">
        <v>33</v>
      </c>
      <c r="E5" s="5" t="s">
        <v>34</v>
      </c>
      <c r="F5" s="5">
        <v>2</v>
      </c>
      <c r="G5" s="5" t="s">
        <v>46</v>
      </c>
      <c r="H5" s="6" t="s">
        <v>44</v>
      </c>
    </row>
    <row r="6" spans="1:8" ht="66.25" customHeight="1">
      <c r="A6" s="5" t="s">
        <v>30</v>
      </c>
      <c r="B6" s="5" t="s">
        <v>47</v>
      </c>
      <c r="C6" s="5" t="s">
        <v>48</v>
      </c>
      <c r="D6" s="5" t="s">
        <v>49</v>
      </c>
      <c r="E6" s="5" t="s">
        <v>34</v>
      </c>
      <c r="F6" s="5">
        <v>1</v>
      </c>
      <c r="G6" s="5" t="s">
        <v>50</v>
      </c>
      <c r="H6" s="6" t="s">
        <v>51</v>
      </c>
    </row>
    <row r="7" spans="1:8" ht="66.25" customHeight="1">
      <c r="A7" s="5" t="s">
        <v>52</v>
      </c>
      <c r="B7" s="5" t="s">
        <v>53</v>
      </c>
      <c r="C7" s="5" t="s">
        <v>54</v>
      </c>
      <c r="D7" s="5" t="s">
        <v>55</v>
      </c>
      <c r="E7" s="5" t="s">
        <v>34</v>
      </c>
      <c r="F7" s="5">
        <v>2</v>
      </c>
      <c r="G7" s="5" t="s">
        <v>56</v>
      </c>
      <c r="H7" s="6" t="s">
        <v>53</v>
      </c>
    </row>
    <row r="8" spans="1:8" ht="66.25" customHeight="1">
      <c r="A8" s="5" t="s">
        <v>57</v>
      </c>
      <c r="B8" s="5" t="s">
        <v>58</v>
      </c>
      <c r="C8" s="5" t="s">
        <v>59</v>
      </c>
      <c r="D8" s="5" t="s">
        <v>60</v>
      </c>
      <c r="E8" s="5" t="s">
        <v>34</v>
      </c>
      <c r="F8" s="5">
        <v>1.5</v>
      </c>
      <c r="G8" s="5" t="s">
        <v>61</v>
      </c>
      <c r="H8" s="6" t="s">
        <v>62</v>
      </c>
    </row>
    <row r="9" spans="1:8" ht="66.25" customHeight="1">
      <c r="A9" s="5" t="s">
        <v>63</v>
      </c>
      <c r="B9" s="5" t="s">
        <v>64</v>
      </c>
      <c r="C9" s="5" t="s">
        <v>65</v>
      </c>
      <c r="D9" s="5" t="s">
        <v>66</v>
      </c>
      <c r="E9" s="5" t="s">
        <v>34</v>
      </c>
      <c r="F9" s="5">
        <v>1</v>
      </c>
      <c r="G9" s="5" t="s">
        <v>67</v>
      </c>
      <c r="H9" s="6" t="s">
        <v>68</v>
      </c>
    </row>
    <row r="10" spans="1:8">
      <c r="A10" s="5" t="s">
        <v>69</v>
      </c>
      <c r="B10" s="5" t="s">
        <v>70</v>
      </c>
      <c r="C10" s="5" t="s">
        <v>71</v>
      </c>
      <c r="D10" s="5" t="s">
        <v>33</v>
      </c>
      <c r="E10" s="5" t="s">
        <v>34</v>
      </c>
      <c r="F10" s="5">
        <v>1</v>
      </c>
      <c r="G10" s="5" t="s">
        <v>72</v>
      </c>
      <c r="H10" s="6" t="s">
        <v>70</v>
      </c>
    </row>
    <row r="11" spans="1:8">
      <c r="A11" s="5" t="s">
        <v>69</v>
      </c>
      <c r="B11" s="5" t="s">
        <v>73</v>
      </c>
      <c r="C11" s="5" t="s">
        <v>74</v>
      </c>
      <c r="D11" s="5" t="s">
        <v>33</v>
      </c>
      <c r="E11" s="5" t="s">
        <v>34</v>
      </c>
      <c r="F11" s="10">
        <v>0.5</v>
      </c>
      <c r="G11" s="5" t="s">
        <v>75</v>
      </c>
      <c r="H11" s="6" t="s">
        <v>73</v>
      </c>
    </row>
    <row r="12" spans="1:8">
      <c r="A12" s="5" t="s">
        <v>69</v>
      </c>
      <c r="B12" s="5" t="s">
        <v>76</v>
      </c>
      <c r="C12" s="5" t="s">
        <v>77</v>
      </c>
      <c r="D12" s="5" t="s">
        <v>33</v>
      </c>
      <c r="E12" s="5" t="s">
        <v>34</v>
      </c>
      <c r="F12" s="5">
        <v>1</v>
      </c>
      <c r="G12" s="5" t="s">
        <v>78</v>
      </c>
      <c r="H12" s="6" t="s">
        <v>76</v>
      </c>
    </row>
    <row r="13" spans="1:8">
      <c r="A13" s="5" t="s">
        <v>69</v>
      </c>
      <c r="B13" s="5" t="s">
        <v>79</v>
      </c>
      <c r="C13" s="5" t="s">
        <v>80</v>
      </c>
      <c r="D13" s="5" t="s">
        <v>33</v>
      </c>
      <c r="E13" s="5" t="s">
        <v>34</v>
      </c>
      <c r="F13" s="5">
        <v>1</v>
      </c>
      <c r="G13" s="5" t="s">
        <v>81</v>
      </c>
      <c r="H13" s="6" t="s">
        <v>79</v>
      </c>
    </row>
    <row r="14" spans="1:8">
      <c r="A14" s="5" t="s">
        <v>82</v>
      </c>
      <c r="B14" s="5" t="s">
        <v>83</v>
      </c>
      <c r="C14" s="5" t="s">
        <v>84</v>
      </c>
      <c r="D14" s="5" t="s">
        <v>33</v>
      </c>
      <c r="E14" s="5" t="s">
        <v>34</v>
      </c>
      <c r="F14" s="5">
        <v>0.5</v>
      </c>
      <c r="G14" s="5" t="s">
        <v>85</v>
      </c>
      <c r="H14" s="6" t="s">
        <v>83</v>
      </c>
    </row>
    <row r="15" spans="1:8" ht="66.25" customHeight="1">
      <c r="A15" s="5" t="s">
        <v>86</v>
      </c>
      <c r="B15" s="5" t="s">
        <v>87</v>
      </c>
      <c r="C15" s="5" t="s">
        <v>88</v>
      </c>
      <c r="D15" s="12" t="s">
        <v>33</v>
      </c>
      <c r="E15" s="5" t="s">
        <v>34</v>
      </c>
      <c r="F15" s="5">
        <v>1.5</v>
      </c>
      <c r="G15" s="5" t="s">
        <v>89</v>
      </c>
      <c r="H15" s="6" t="s">
        <v>90</v>
      </c>
    </row>
    <row r="16" spans="1:8" ht="66.25" customHeight="1">
      <c r="A16" s="5" t="s">
        <v>91</v>
      </c>
      <c r="B16" s="5" t="s">
        <v>92</v>
      </c>
      <c r="C16" s="5" t="s">
        <v>93</v>
      </c>
      <c r="D16" s="12" t="s">
        <v>33</v>
      </c>
      <c r="E16" s="5" t="s">
        <v>34</v>
      </c>
      <c r="F16" s="5">
        <v>0.5</v>
      </c>
      <c r="G16" s="5" t="s">
        <v>94</v>
      </c>
      <c r="H16" s="6" t="s">
        <v>92</v>
      </c>
    </row>
    <row r="17" spans="1:8" ht="66.25" customHeight="1">
      <c r="A17" s="5" t="s">
        <v>91</v>
      </c>
      <c r="B17" s="5" t="s">
        <v>95</v>
      </c>
      <c r="C17" s="5" t="s">
        <v>96</v>
      </c>
      <c r="D17" s="12" t="s">
        <v>33</v>
      </c>
      <c r="E17" s="5" t="s">
        <v>34</v>
      </c>
      <c r="F17" s="5">
        <v>1</v>
      </c>
      <c r="G17" s="5" t="s">
        <v>97</v>
      </c>
      <c r="H17" s="6" t="s">
        <v>95</v>
      </c>
    </row>
    <row r="18" spans="1:8" ht="66.25" customHeight="1">
      <c r="A18" s="5" t="s">
        <v>98</v>
      </c>
      <c r="B18" s="5" t="s">
        <v>99</v>
      </c>
      <c r="C18" s="5" t="s">
        <v>100</v>
      </c>
      <c r="D18" s="12" t="s">
        <v>33</v>
      </c>
      <c r="E18" s="5" t="s">
        <v>34</v>
      </c>
      <c r="F18" s="5">
        <v>2</v>
      </c>
      <c r="G18" s="5" t="s">
        <v>101</v>
      </c>
      <c r="H18" s="6" t="s">
        <v>99</v>
      </c>
    </row>
    <row r="19" spans="1:8" ht="99.75" customHeight="1">
      <c r="A19" s="5" t="s">
        <v>102</v>
      </c>
      <c r="B19" s="5" t="s">
        <v>103</v>
      </c>
      <c r="C19" s="5" t="s">
        <v>104</v>
      </c>
      <c r="D19" s="12" t="s">
        <v>33</v>
      </c>
      <c r="E19" s="12" t="s">
        <v>34</v>
      </c>
      <c r="F19" s="5">
        <v>2</v>
      </c>
      <c r="G19" s="5" t="s">
        <v>105</v>
      </c>
      <c r="H19" s="6" t="s">
        <v>103</v>
      </c>
    </row>
    <row r="20" spans="1:8" ht="99.75" customHeight="1">
      <c r="A20" s="5" t="s">
        <v>106</v>
      </c>
      <c r="B20" s="5" t="s">
        <v>107</v>
      </c>
      <c r="C20" s="5" t="s">
        <v>108</v>
      </c>
      <c r="D20" s="12" t="s">
        <v>33</v>
      </c>
      <c r="E20" s="12" t="s">
        <v>34</v>
      </c>
      <c r="F20" s="5">
        <v>2</v>
      </c>
      <c r="G20" s="5" t="s">
        <v>109</v>
      </c>
      <c r="H20" s="6" t="s">
        <v>107</v>
      </c>
    </row>
    <row r="21" spans="1:8" ht="66.25" customHeight="1">
      <c r="A21" s="7" t="s">
        <v>110</v>
      </c>
      <c r="B21" s="7" t="s">
        <v>111</v>
      </c>
      <c r="C21" s="7" t="s">
        <v>112</v>
      </c>
      <c r="D21" s="7" t="s">
        <v>113</v>
      </c>
      <c r="E21" s="7" t="s">
        <v>34</v>
      </c>
      <c r="F21" s="7">
        <f>SUM(F2:F20)</f>
        <v>25</v>
      </c>
      <c r="G21" s="7"/>
      <c r="H21" s="7"/>
    </row>
  </sheetData>
  <phoneticPr fontId="15"/>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 ref="H9" r:id="rId8" xr:uid="{00000000-0004-0000-0100-000007000000}"/>
    <hyperlink ref="H10" r:id="rId9" xr:uid="{00000000-0004-0000-0100-000008000000}"/>
    <hyperlink ref="H11" r:id="rId10" xr:uid="{00000000-0004-0000-0100-000009000000}"/>
    <hyperlink ref="H12" r:id="rId11" xr:uid="{00000000-0004-0000-0100-00000A000000}"/>
    <hyperlink ref="H13" r:id="rId12" xr:uid="{00000000-0004-0000-0100-00000B000000}"/>
    <hyperlink ref="H14" r:id="rId13" xr:uid="{00000000-0004-0000-0100-00000C000000}"/>
    <hyperlink ref="H15" r:id="rId14" xr:uid="{00000000-0004-0000-0100-00000D000000}"/>
    <hyperlink ref="H16" r:id="rId15" xr:uid="{00000000-0004-0000-0100-00000E000000}"/>
    <hyperlink ref="H17" r:id="rId16" xr:uid="{00000000-0004-0000-0100-00000F000000}"/>
    <hyperlink ref="H18" r:id="rId17" xr:uid="{00000000-0004-0000-0100-000010000000}"/>
    <hyperlink ref="H19" r:id="rId18" xr:uid="{00000000-0004-0000-0100-000011000000}"/>
    <hyperlink ref="H20" r:id="rId19" xr:uid="{00000000-0004-0000-0100-00001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tabSelected="1" topLeftCell="A25" workbookViewId="0">
      <selection activeCell="E45" sqref="E45"/>
    </sheetView>
  </sheetViews>
  <sheetFormatPr baseColWidth="10" defaultColWidth="8.83203125" defaultRowHeight="14"/>
  <cols>
    <col min="1" max="1" width="20" customWidth="1"/>
    <col min="2" max="2" width="22" customWidth="1"/>
    <col min="3" max="3" width="42" customWidth="1"/>
    <col min="4" max="4" width="22" customWidth="1"/>
    <col min="5" max="5" width="11" customWidth="1"/>
    <col min="6" max="6" width="12" customWidth="1"/>
    <col min="7" max="7" width="36" customWidth="1"/>
    <col min="8" max="8" width="26" customWidth="1"/>
  </cols>
  <sheetData>
    <row r="1" spans="1:8" ht="35.75" customHeight="1">
      <c r="A1" s="8" t="s">
        <v>22</v>
      </c>
      <c r="B1" s="8" t="s">
        <v>23</v>
      </c>
      <c r="C1" s="8" t="s">
        <v>24</v>
      </c>
      <c r="D1" s="8" t="s">
        <v>25</v>
      </c>
      <c r="E1" s="8" t="s">
        <v>26</v>
      </c>
      <c r="F1" s="11" t="s">
        <v>27</v>
      </c>
      <c r="G1" s="8" t="s">
        <v>28</v>
      </c>
      <c r="H1" s="8" t="s">
        <v>29</v>
      </c>
    </row>
    <row r="2" spans="1:8" ht="99.75" customHeight="1">
      <c r="A2" s="5" t="s">
        <v>114</v>
      </c>
      <c r="B2" s="5" t="s">
        <v>115</v>
      </c>
      <c r="C2" s="5" t="s">
        <v>116</v>
      </c>
      <c r="D2" s="5" t="s">
        <v>33</v>
      </c>
      <c r="E2" s="12" t="s">
        <v>117</v>
      </c>
      <c r="F2" s="10">
        <v>0.5</v>
      </c>
      <c r="G2" s="5" t="s">
        <v>118</v>
      </c>
      <c r="H2" s="6" t="s">
        <v>115</v>
      </c>
    </row>
    <row r="3" spans="1:8" ht="66.25" customHeight="1">
      <c r="A3" s="5" t="s">
        <v>119</v>
      </c>
      <c r="B3" s="5" t="s">
        <v>120</v>
      </c>
      <c r="C3" s="5" t="s">
        <v>121</v>
      </c>
      <c r="D3" s="5" t="s">
        <v>33</v>
      </c>
      <c r="E3" s="5" t="s">
        <v>117</v>
      </c>
      <c r="F3" s="10">
        <v>1</v>
      </c>
      <c r="G3" s="5" t="s">
        <v>122</v>
      </c>
      <c r="H3" s="6" t="s">
        <v>123</v>
      </c>
    </row>
    <row r="4" spans="1:8" ht="133" customHeight="1">
      <c r="A4" s="5" t="s">
        <v>91</v>
      </c>
      <c r="B4" s="5" t="s">
        <v>124</v>
      </c>
      <c r="C4" s="5" t="s">
        <v>125</v>
      </c>
      <c r="D4" s="5" t="s">
        <v>33</v>
      </c>
      <c r="E4" s="5" t="s">
        <v>117</v>
      </c>
      <c r="F4" s="5">
        <v>2</v>
      </c>
      <c r="G4" s="5" t="s">
        <v>126</v>
      </c>
      <c r="H4" s="6" t="s">
        <v>124</v>
      </c>
    </row>
    <row r="5" spans="1:8" ht="66.25" customHeight="1">
      <c r="A5" s="5" t="s">
        <v>98</v>
      </c>
      <c r="B5" s="5" t="s">
        <v>127</v>
      </c>
      <c r="C5" s="5" t="s">
        <v>128</v>
      </c>
      <c r="D5" s="12" t="s">
        <v>33</v>
      </c>
      <c r="E5" s="5" t="s">
        <v>117</v>
      </c>
      <c r="F5" s="5">
        <v>1.5</v>
      </c>
      <c r="G5" s="5" t="s">
        <v>129</v>
      </c>
      <c r="H5" s="6" t="s">
        <v>127</v>
      </c>
    </row>
    <row r="6" spans="1:8" ht="66.25" customHeight="1">
      <c r="A6" s="5" t="s">
        <v>98</v>
      </c>
      <c r="B6" s="5" t="s">
        <v>130</v>
      </c>
      <c r="C6" s="5" t="s">
        <v>131</v>
      </c>
      <c r="D6" s="12" t="s">
        <v>33</v>
      </c>
      <c r="E6" s="5" t="s">
        <v>117</v>
      </c>
      <c r="F6" s="5">
        <v>2</v>
      </c>
      <c r="G6" s="5" t="s">
        <v>132</v>
      </c>
      <c r="H6" s="6" t="s">
        <v>130</v>
      </c>
    </row>
    <row r="7" spans="1:8" ht="35.75" customHeight="1">
      <c r="A7" s="5" t="s">
        <v>98</v>
      </c>
      <c r="B7" s="5" t="s">
        <v>133</v>
      </c>
      <c r="C7" s="5" t="s">
        <v>134</v>
      </c>
      <c r="D7" s="12" t="s">
        <v>33</v>
      </c>
      <c r="E7" s="5" t="s">
        <v>117</v>
      </c>
      <c r="F7" s="5">
        <v>0.5</v>
      </c>
      <c r="G7" s="5" t="s">
        <v>135</v>
      </c>
      <c r="H7" s="6" t="s">
        <v>133</v>
      </c>
    </row>
    <row r="8" spans="1:8" ht="66.25" customHeight="1">
      <c r="A8" s="5" t="s">
        <v>102</v>
      </c>
      <c r="B8" s="5" t="s">
        <v>136</v>
      </c>
      <c r="C8" s="5" t="s">
        <v>137</v>
      </c>
      <c r="D8" s="12" t="s">
        <v>33</v>
      </c>
      <c r="E8" s="5" t="s">
        <v>117</v>
      </c>
      <c r="F8" s="5">
        <v>0.5</v>
      </c>
      <c r="G8" s="5" t="s">
        <v>138</v>
      </c>
      <c r="H8" s="6" t="s">
        <v>136</v>
      </c>
    </row>
    <row r="9" spans="1:8" ht="66.25" customHeight="1">
      <c r="A9" s="5" t="s">
        <v>102</v>
      </c>
      <c r="B9" s="5" t="s">
        <v>139</v>
      </c>
      <c r="C9" s="5" t="s">
        <v>140</v>
      </c>
      <c r="D9" s="12" t="s">
        <v>33</v>
      </c>
      <c r="E9" s="5" t="s">
        <v>117</v>
      </c>
      <c r="F9" s="5">
        <v>1.5</v>
      </c>
      <c r="G9" s="5" t="s">
        <v>141</v>
      </c>
      <c r="H9" s="6" t="s">
        <v>139</v>
      </c>
    </row>
    <row r="10" spans="1:8" ht="35.75" customHeight="1">
      <c r="A10" s="5" t="s">
        <v>102</v>
      </c>
      <c r="B10" s="5" t="s">
        <v>142</v>
      </c>
      <c r="C10" s="5" t="s">
        <v>143</v>
      </c>
      <c r="D10" s="12" t="s">
        <v>33</v>
      </c>
      <c r="E10" s="5" t="s">
        <v>117</v>
      </c>
      <c r="F10" s="5">
        <v>0.5</v>
      </c>
      <c r="G10" s="5" t="s">
        <v>144</v>
      </c>
      <c r="H10" s="6" t="s">
        <v>142</v>
      </c>
    </row>
    <row r="11" spans="1:8" ht="66.25" customHeight="1">
      <c r="A11" s="5" t="s">
        <v>102</v>
      </c>
      <c r="B11" s="5" t="s">
        <v>145</v>
      </c>
      <c r="C11" s="5" t="s">
        <v>146</v>
      </c>
      <c r="D11" s="12" t="s">
        <v>33</v>
      </c>
      <c r="E11" s="5" t="s">
        <v>117</v>
      </c>
      <c r="F11" s="5">
        <v>0.5</v>
      </c>
      <c r="G11" s="5" t="s">
        <v>147</v>
      </c>
      <c r="H11" s="6" t="s">
        <v>145</v>
      </c>
    </row>
    <row r="12" spans="1:8" ht="66.25" customHeight="1">
      <c r="A12" s="5" t="s">
        <v>102</v>
      </c>
      <c r="B12" s="5" t="s">
        <v>148</v>
      </c>
      <c r="C12" s="5" t="s">
        <v>149</v>
      </c>
      <c r="D12" s="12" t="s">
        <v>33</v>
      </c>
      <c r="E12" s="5" t="s">
        <v>117</v>
      </c>
      <c r="F12" s="5">
        <v>0.5</v>
      </c>
      <c r="G12" s="5" t="s">
        <v>147</v>
      </c>
      <c r="H12" s="6" t="s">
        <v>148</v>
      </c>
    </row>
    <row r="13" spans="1:8" ht="66.25" customHeight="1">
      <c r="A13" s="5" t="s">
        <v>102</v>
      </c>
      <c r="B13" s="5" t="s">
        <v>150</v>
      </c>
      <c r="C13" s="5" t="s">
        <v>151</v>
      </c>
      <c r="D13" s="12" t="s">
        <v>33</v>
      </c>
      <c r="E13" s="5" t="s">
        <v>117</v>
      </c>
      <c r="F13" s="5">
        <v>0.5</v>
      </c>
      <c r="G13" s="5" t="s">
        <v>152</v>
      </c>
      <c r="H13" s="6" t="s">
        <v>150</v>
      </c>
    </row>
    <row r="14" spans="1:8" ht="99.75" customHeight="1">
      <c r="A14" s="5" t="s">
        <v>102</v>
      </c>
      <c r="B14" s="5" t="s">
        <v>153</v>
      </c>
      <c r="C14" s="5" t="s">
        <v>154</v>
      </c>
      <c r="D14" s="12" t="s">
        <v>33</v>
      </c>
      <c r="E14" s="5" t="s">
        <v>117</v>
      </c>
      <c r="F14" s="5">
        <v>1</v>
      </c>
      <c r="G14" s="5" t="s">
        <v>155</v>
      </c>
      <c r="H14" s="6" t="s">
        <v>153</v>
      </c>
    </row>
    <row r="15" spans="1:8" ht="66.25" customHeight="1">
      <c r="A15" s="5" t="s">
        <v>106</v>
      </c>
      <c r="B15" s="5" t="s">
        <v>156</v>
      </c>
      <c r="C15" s="5" t="s">
        <v>157</v>
      </c>
      <c r="D15" s="12" t="s">
        <v>33</v>
      </c>
      <c r="E15" s="5" t="s">
        <v>117</v>
      </c>
      <c r="F15" s="5">
        <v>3</v>
      </c>
      <c r="G15" s="5" t="s">
        <v>158</v>
      </c>
      <c r="H15" s="6" t="s">
        <v>156</v>
      </c>
    </row>
    <row r="16" spans="1:8" ht="99.75" customHeight="1">
      <c r="A16" s="5" t="s">
        <v>159</v>
      </c>
      <c r="B16" s="5" t="s">
        <v>160</v>
      </c>
      <c r="C16" s="5" t="s">
        <v>161</v>
      </c>
      <c r="D16" s="12" t="s">
        <v>33</v>
      </c>
      <c r="E16" s="5" t="s">
        <v>117</v>
      </c>
      <c r="F16" s="5">
        <v>2.5</v>
      </c>
      <c r="G16" s="5" t="s">
        <v>162</v>
      </c>
      <c r="H16" s="6" t="s">
        <v>160</v>
      </c>
    </row>
    <row r="17" spans="1:8" ht="66.25" customHeight="1">
      <c r="A17" s="5" t="s">
        <v>159</v>
      </c>
      <c r="B17" s="5" t="s">
        <v>163</v>
      </c>
      <c r="C17" s="5" t="s">
        <v>164</v>
      </c>
      <c r="D17" s="5" t="s">
        <v>165</v>
      </c>
      <c r="E17" s="5" t="s">
        <v>117</v>
      </c>
      <c r="F17" s="5">
        <v>1.5</v>
      </c>
      <c r="G17" s="5" t="s">
        <v>166</v>
      </c>
      <c r="H17" s="16" t="s">
        <v>167</v>
      </c>
    </row>
    <row r="18" spans="1:8" ht="66.25" customHeight="1">
      <c r="A18" s="5" t="s">
        <v>168</v>
      </c>
      <c r="B18" s="5" t="s">
        <v>169</v>
      </c>
      <c r="C18" s="5" t="s">
        <v>170</v>
      </c>
      <c r="D18" s="5" t="s">
        <v>33</v>
      </c>
      <c r="E18" s="5" t="s">
        <v>117</v>
      </c>
      <c r="F18" s="5">
        <v>2</v>
      </c>
      <c r="G18" s="5" t="s">
        <v>171</v>
      </c>
      <c r="H18" s="18" t="s">
        <v>293</v>
      </c>
    </row>
    <row r="19" spans="1:8" ht="66.25" customHeight="1">
      <c r="A19" s="5" t="s">
        <v>168</v>
      </c>
      <c r="B19" s="5" t="s">
        <v>172</v>
      </c>
      <c r="C19" s="5" t="s">
        <v>173</v>
      </c>
      <c r="D19" s="12" t="s">
        <v>33</v>
      </c>
      <c r="E19" s="5" t="s">
        <v>117</v>
      </c>
      <c r="F19" s="5">
        <v>2</v>
      </c>
      <c r="G19" s="5" t="s">
        <v>174</v>
      </c>
      <c r="H19" s="6" t="s">
        <v>175</v>
      </c>
    </row>
    <row r="20" spans="1:8" ht="28">
      <c r="A20" s="5" t="s">
        <v>176</v>
      </c>
      <c r="B20" s="5" t="s">
        <v>177</v>
      </c>
      <c r="C20" s="5" t="s">
        <v>178</v>
      </c>
      <c r="D20" s="5" t="s">
        <v>33</v>
      </c>
      <c r="E20" s="5" t="s">
        <v>117</v>
      </c>
      <c r="F20" s="5">
        <v>0.5</v>
      </c>
      <c r="G20" s="5" t="s">
        <v>179</v>
      </c>
      <c r="H20" s="15" t="s">
        <v>180</v>
      </c>
    </row>
    <row r="21" spans="1:8" ht="28">
      <c r="A21" s="5" t="s">
        <v>176</v>
      </c>
      <c r="B21" s="5" t="s">
        <v>181</v>
      </c>
      <c r="C21" s="5" t="s">
        <v>182</v>
      </c>
      <c r="D21" s="5" t="s">
        <v>33</v>
      </c>
      <c r="E21" s="5" t="s">
        <v>117</v>
      </c>
      <c r="F21" s="5">
        <v>1.5</v>
      </c>
      <c r="G21" s="5" t="s">
        <v>183</v>
      </c>
      <c r="H21" s="15" t="s">
        <v>184</v>
      </c>
    </row>
    <row r="22" spans="1:8" ht="28">
      <c r="A22" s="5" t="s">
        <v>176</v>
      </c>
      <c r="B22" s="5" t="s">
        <v>185</v>
      </c>
      <c r="C22" s="5" t="s">
        <v>186</v>
      </c>
      <c r="D22" s="5" t="s">
        <v>33</v>
      </c>
      <c r="E22" s="5" t="s">
        <v>117</v>
      </c>
      <c r="F22" s="5">
        <v>0.5</v>
      </c>
      <c r="G22" s="5" t="s">
        <v>187</v>
      </c>
      <c r="H22" s="15" t="s">
        <v>188</v>
      </c>
    </row>
    <row r="23" spans="1:8" ht="42">
      <c r="A23" s="5" t="s">
        <v>176</v>
      </c>
      <c r="B23" s="5" t="s">
        <v>189</v>
      </c>
      <c r="C23" s="5" t="s">
        <v>190</v>
      </c>
      <c r="D23" s="5" t="s">
        <v>33</v>
      </c>
      <c r="E23" s="5" t="s">
        <v>117</v>
      </c>
      <c r="F23" s="5">
        <v>1.5</v>
      </c>
      <c r="G23" s="5" t="s">
        <v>191</v>
      </c>
      <c r="H23" s="15" t="s">
        <v>192</v>
      </c>
    </row>
    <row r="24" spans="1:8" ht="42">
      <c r="A24" s="5" t="s">
        <v>176</v>
      </c>
      <c r="B24" s="5" t="s">
        <v>193</v>
      </c>
      <c r="C24" s="5" t="s">
        <v>194</v>
      </c>
      <c r="D24" s="5" t="s">
        <v>33</v>
      </c>
      <c r="E24" s="5" t="s">
        <v>117</v>
      </c>
      <c r="F24" s="5">
        <v>1</v>
      </c>
      <c r="G24" s="5" t="s">
        <v>195</v>
      </c>
      <c r="H24" s="15" t="s">
        <v>196</v>
      </c>
    </row>
    <row r="25" spans="1:8" ht="42">
      <c r="A25" s="5" t="s">
        <v>176</v>
      </c>
      <c r="B25" s="5" t="s">
        <v>197</v>
      </c>
      <c r="C25" s="5" t="s">
        <v>198</v>
      </c>
      <c r="D25" s="5" t="s">
        <v>33</v>
      </c>
      <c r="E25" s="5" t="s">
        <v>117</v>
      </c>
      <c r="F25" s="5">
        <v>1</v>
      </c>
      <c r="G25" s="5" t="s">
        <v>199</v>
      </c>
      <c r="H25" s="15" t="s">
        <v>200</v>
      </c>
    </row>
    <row r="26" spans="1:8" ht="28">
      <c r="A26" s="5" t="s">
        <v>201</v>
      </c>
      <c r="B26" s="5" t="s">
        <v>202</v>
      </c>
      <c r="C26" s="5" t="s">
        <v>203</v>
      </c>
      <c r="D26" s="5" t="s">
        <v>33</v>
      </c>
      <c r="E26" s="5" t="s">
        <v>117</v>
      </c>
      <c r="F26" s="5">
        <v>0.5</v>
      </c>
      <c r="G26" s="5" t="s">
        <v>204</v>
      </c>
      <c r="H26" s="15" t="s">
        <v>205</v>
      </c>
    </row>
    <row r="27" spans="1:8" ht="53.25" customHeight="1">
      <c r="A27" t="s">
        <v>206</v>
      </c>
      <c r="B27" t="s">
        <v>207</v>
      </c>
      <c r="C27" t="s">
        <v>208</v>
      </c>
      <c r="D27" t="s">
        <v>33</v>
      </c>
      <c r="E27" t="s">
        <v>117</v>
      </c>
      <c r="F27">
        <v>2.5</v>
      </c>
      <c r="G27" t="s">
        <v>209</v>
      </c>
      <c r="H27" t="s">
        <v>210</v>
      </c>
    </row>
    <row r="28" spans="1:8" ht="29.25" customHeight="1">
      <c r="A28" t="s">
        <v>206</v>
      </c>
      <c r="B28" t="s">
        <v>211</v>
      </c>
      <c r="C28" t="s">
        <v>212</v>
      </c>
      <c r="D28" t="s">
        <v>33</v>
      </c>
      <c r="E28" t="s">
        <v>117</v>
      </c>
      <c r="F28" s="17">
        <v>1</v>
      </c>
      <c r="G28" t="s">
        <v>213</v>
      </c>
      <c r="H28" t="s">
        <v>214</v>
      </c>
    </row>
    <row r="29" spans="1:8" ht="36" customHeight="1">
      <c r="A29" t="s">
        <v>206</v>
      </c>
      <c r="B29" t="s">
        <v>215</v>
      </c>
      <c r="C29" t="s">
        <v>216</v>
      </c>
      <c r="D29" t="s">
        <v>33</v>
      </c>
      <c r="E29" t="s">
        <v>117</v>
      </c>
      <c r="F29" s="17">
        <v>2</v>
      </c>
      <c r="G29" t="s">
        <v>217</v>
      </c>
      <c r="H29" t="s">
        <v>214</v>
      </c>
    </row>
    <row r="30" spans="1:8" ht="40" customHeight="1">
      <c r="A30" t="s">
        <v>206</v>
      </c>
      <c r="B30" t="s">
        <v>218</v>
      </c>
      <c r="C30" t="s">
        <v>219</v>
      </c>
      <c r="D30" t="s">
        <v>33</v>
      </c>
      <c r="E30" t="s">
        <v>117</v>
      </c>
      <c r="F30" s="17">
        <v>1</v>
      </c>
      <c r="G30" t="s">
        <v>220</v>
      </c>
      <c r="H30" t="s">
        <v>214</v>
      </c>
    </row>
    <row r="31" spans="1:8" ht="36" customHeight="1">
      <c r="A31" t="s">
        <v>206</v>
      </c>
      <c r="B31" t="s">
        <v>221</v>
      </c>
      <c r="C31" t="s">
        <v>222</v>
      </c>
      <c r="D31" t="s">
        <v>33</v>
      </c>
      <c r="E31" t="s">
        <v>117</v>
      </c>
      <c r="F31" s="17">
        <v>1</v>
      </c>
      <c r="G31" t="s">
        <v>223</v>
      </c>
      <c r="H31" t="s">
        <v>214</v>
      </c>
    </row>
    <row r="32" spans="1:8" ht="33.25" customHeight="1">
      <c r="A32" t="s">
        <v>206</v>
      </c>
      <c r="B32" t="s">
        <v>224</v>
      </c>
      <c r="C32" t="s">
        <v>225</v>
      </c>
      <c r="D32" t="s">
        <v>33</v>
      </c>
      <c r="E32" t="s">
        <v>117</v>
      </c>
      <c r="F32" s="17">
        <v>1</v>
      </c>
      <c r="G32" t="s">
        <v>226</v>
      </c>
      <c r="H32" t="s">
        <v>214</v>
      </c>
    </row>
    <row r="33" spans="1:8" ht="36" customHeight="1">
      <c r="A33" t="s">
        <v>206</v>
      </c>
      <c r="B33" t="s">
        <v>227</v>
      </c>
      <c r="C33" t="s">
        <v>228</v>
      </c>
      <c r="D33" t="s">
        <v>33</v>
      </c>
      <c r="E33" t="s">
        <v>117</v>
      </c>
      <c r="F33" s="17">
        <v>1</v>
      </c>
      <c r="G33" t="s">
        <v>229</v>
      </c>
      <c r="H33" t="s">
        <v>214</v>
      </c>
    </row>
    <row r="34" spans="1:8" ht="20" customHeight="1">
      <c r="A34" t="s">
        <v>206</v>
      </c>
      <c r="B34" t="s">
        <v>230</v>
      </c>
      <c r="C34" t="s">
        <v>228</v>
      </c>
      <c r="D34" t="s">
        <v>33</v>
      </c>
      <c r="E34" t="s">
        <v>117</v>
      </c>
      <c r="F34" s="17">
        <v>1</v>
      </c>
      <c r="G34" t="s">
        <v>231</v>
      </c>
      <c r="H34" t="s">
        <v>214</v>
      </c>
    </row>
    <row r="35" spans="1:8">
      <c r="A35" t="s">
        <v>206</v>
      </c>
      <c r="B35" t="s">
        <v>232</v>
      </c>
      <c r="C35" t="s">
        <v>228</v>
      </c>
      <c r="D35" t="s">
        <v>33</v>
      </c>
      <c r="E35" t="s">
        <v>117</v>
      </c>
      <c r="F35" s="17">
        <v>1</v>
      </c>
      <c r="G35" t="s">
        <v>233</v>
      </c>
      <c r="H35" t="s">
        <v>214</v>
      </c>
    </row>
    <row r="36" spans="1:8">
      <c r="A36" t="s">
        <v>281</v>
      </c>
      <c r="B36" t="s">
        <v>282</v>
      </c>
      <c r="C36" t="s">
        <v>283</v>
      </c>
      <c r="D36" t="s">
        <v>33</v>
      </c>
      <c r="E36" t="s">
        <v>117</v>
      </c>
      <c r="F36">
        <v>1.5</v>
      </c>
      <c r="G36" t="s">
        <v>284</v>
      </c>
      <c r="H36" t="s">
        <v>285</v>
      </c>
    </row>
    <row r="37" spans="1:8">
      <c r="A37" t="s">
        <v>281</v>
      </c>
      <c r="B37" t="s">
        <v>286</v>
      </c>
      <c r="C37" t="s">
        <v>287</v>
      </c>
      <c r="D37" t="s">
        <v>33</v>
      </c>
      <c r="E37" t="s">
        <v>117</v>
      </c>
      <c r="F37">
        <v>3.5</v>
      </c>
      <c r="G37" t="s">
        <v>288</v>
      </c>
      <c r="H37" t="s">
        <v>285</v>
      </c>
    </row>
    <row r="38" spans="1:8">
      <c r="A38" t="s">
        <v>110</v>
      </c>
      <c r="B38" t="s">
        <v>289</v>
      </c>
      <c r="C38" t="s">
        <v>290</v>
      </c>
      <c r="D38" t="s">
        <v>113</v>
      </c>
      <c r="E38" t="s">
        <v>117</v>
      </c>
      <c r="F38">
        <f>SUM(F2:F37)</f>
        <v>46.5</v>
      </c>
    </row>
  </sheetData>
  <phoneticPr fontId="15"/>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 ref="H9" r:id="rId8" xr:uid="{00000000-0004-0000-0200-000007000000}"/>
    <hyperlink ref="H10" r:id="rId9" xr:uid="{00000000-0004-0000-0200-000008000000}"/>
    <hyperlink ref="H11" r:id="rId10" xr:uid="{00000000-0004-0000-0200-000009000000}"/>
    <hyperlink ref="H12" r:id="rId11" xr:uid="{00000000-0004-0000-0200-00000A000000}"/>
    <hyperlink ref="H13" r:id="rId12" xr:uid="{00000000-0004-0000-0200-00000B000000}"/>
    <hyperlink ref="H14" r:id="rId13" xr:uid="{00000000-0004-0000-0200-00000C000000}"/>
    <hyperlink ref="H15" r:id="rId14" xr:uid="{00000000-0004-0000-0200-00000D000000}"/>
    <hyperlink ref="H20" r:id="rId15" xr:uid="{00000000-0004-0000-0200-00000E000000}"/>
    <hyperlink ref="H21" r:id="rId16" xr:uid="{00000000-0004-0000-0200-00000F000000}"/>
    <hyperlink ref="H22" r:id="rId17" xr:uid="{00000000-0004-0000-0200-000010000000}"/>
    <hyperlink ref="H23" r:id="rId18" xr:uid="{00000000-0004-0000-0200-000011000000}"/>
    <hyperlink ref="H24" r:id="rId19" xr:uid="{00000000-0004-0000-0200-000012000000}"/>
    <hyperlink ref="H25" r:id="rId20" xr:uid="{00000000-0004-0000-0200-000013000000}"/>
    <hyperlink ref="H26" r:id="rId21" xr:uid="{00000000-0004-0000-0200-00001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1"/>
  <sheetViews>
    <sheetView topLeftCell="A20" workbookViewId="0">
      <selection activeCell="D38" sqref="D38"/>
    </sheetView>
  </sheetViews>
  <sheetFormatPr baseColWidth="10" defaultColWidth="8.83203125" defaultRowHeight="14"/>
  <cols>
    <col min="1" max="1" width="14" customWidth="1"/>
    <col min="2" max="2" width="30" customWidth="1"/>
    <col min="3" max="3" width="46" customWidth="1"/>
    <col min="4" max="4" width="16" customWidth="1"/>
  </cols>
  <sheetData>
    <row r="1" spans="1:4">
      <c r="A1" s="9" t="s">
        <v>234</v>
      </c>
      <c r="B1" s="9" t="s">
        <v>235</v>
      </c>
      <c r="C1" s="9" t="s">
        <v>236</v>
      </c>
      <c r="D1" s="9" t="s">
        <v>237</v>
      </c>
    </row>
    <row r="2" spans="1:4">
      <c r="A2" s="5" t="s">
        <v>238</v>
      </c>
      <c r="B2" s="5" t="s">
        <v>239</v>
      </c>
      <c r="C2" s="5" t="s">
        <v>240</v>
      </c>
      <c r="D2" s="6" t="s">
        <v>241</v>
      </c>
    </row>
    <row r="3" spans="1:4">
      <c r="A3" s="5" t="s">
        <v>242</v>
      </c>
      <c r="B3" s="5" t="s">
        <v>243</v>
      </c>
      <c r="C3" s="5" t="s">
        <v>244</v>
      </c>
      <c r="D3" s="6" t="s">
        <v>241</v>
      </c>
    </row>
    <row r="4" spans="1:4">
      <c r="A4" s="5" t="s">
        <v>30</v>
      </c>
      <c r="B4" s="5" t="s">
        <v>31</v>
      </c>
      <c r="C4" s="5" t="s">
        <v>245</v>
      </c>
      <c r="D4" s="6" t="s">
        <v>241</v>
      </c>
    </row>
    <row r="5" spans="1:4">
      <c r="A5" s="5" t="s">
        <v>30</v>
      </c>
      <c r="B5" s="5" t="s">
        <v>36</v>
      </c>
      <c r="C5" s="5" t="s">
        <v>246</v>
      </c>
      <c r="D5" s="6" t="s">
        <v>241</v>
      </c>
    </row>
    <row r="6" spans="1:4">
      <c r="A6" s="5" t="s">
        <v>30</v>
      </c>
      <c r="B6" s="5" t="s">
        <v>40</v>
      </c>
      <c r="C6" s="5" t="s">
        <v>247</v>
      </c>
      <c r="D6" s="6" t="s">
        <v>241</v>
      </c>
    </row>
    <row r="7" spans="1:4">
      <c r="A7" s="5" t="s">
        <v>30</v>
      </c>
      <c r="B7" s="5" t="s">
        <v>44</v>
      </c>
      <c r="C7" s="5" t="s">
        <v>248</v>
      </c>
      <c r="D7" s="6" t="s">
        <v>241</v>
      </c>
    </row>
    <row r="8" spans="1:4">
      <c r="A8" s="5" t="s">
        <v>30</v>
      </c>
      <c r="B8" s="5" t="s">
        <v>51</v>
      </c>
      <c r="C8" s="5" t="s">
        <v>249</v>
      </c>
      <c r="D8" s="6" t="s">
        <v>241</v>
      </c>
    </row>
    <row r="9" spans="1:4" ht="66.25" customHeight="1">
      <c r="A9" s="5" t="s">
        <v>52</v>
      </c>
      <c r="B9" s="5" t="s">
        <v>53</v>
      </c>
      <c r="C9" s="5" t="s">
        <v>250</v>
      </c>
      <c r="D9" s="6" t="s">
        <v>241</v>
      </c>
    </row>
    <row r="10" spans="1:4">
      <c r="A10" s="5" t="s">
        <v>57</v>
      </c>
      <c r="B10" s="5" t="s">
        <v>251</v>
      </c>
      <c r="C10" s="5" t="s">
        <v>252</v>
      </c>
      <c r="D10" s="6" t="s">
        <v>241</v>
      </c>
    </row>
    <row r="11" spans="1:4">
      <c r="A11" s="5" t="s">
        <v>63</v>
      </c>
      <c r="B11" s="5" t="s">
        <v>253</v>
      </c>
      <c r="C11" s="5" t="s">
        <v>254</v>
      </c>
      <c r="D11" s="6" t="s">
        <v>241</v>
      </c>
    </row>
    <row r="12" spans="1:4">
      <c r="A12" s="5" t="s">
        <v>69</v>
      </c>
      <c r="B12" s="5" t="s">
        <v>70</v>
      </c>
      <c r="C12" s="5" t="s">
        <v>255</v>
      </c>
      <c r="D12" s="6" t="s">
        <v>241</v>
      </c>
    </row>
    <row r="13" spans="1:4">
      <c r="A13" s="5" t="s">
        <v>69</v>
      </c>
      <c r="B13" s="5" t="s">
        <v>73</v>
      </c>
      <c r="C13" s="5" t="s">
        <v>256</v>
      </c>
      <c r="D13" s="6" t="s">
        <v>241</v>
      </c>
    </row>
    <row r="14" spans="1:4">
      <c r="A14" s="5" t="s">
        <v>69</v>
      </c>
      <c r="B14" s="5" t="s">
        <v>76</v>
      </c>
      <c r="C14" s="5" t="s">
        <v>77</v>
      </c>
      <c r="D14" s="6" t="s">
        <v>241</v>
      </c>
    </row>
    <row r="15" spans="1:4">
      <c r="A15" s="5" t="s">
        <v>69</v>
      </c>
      <c r="B15" s="5" t="s">
        <v>79</v>
      </c>
      <c r="C15" s="5" t="s">
        <v>80</v>
      </c>
      <c r="D15" s="6" t="s">
        <v>241</v>
      </c>
    </row>
    <row r="16" spans="1:4">
      <c r="A16" s="5" t="s">
        <v>82</v>
      </c>
      <c r="B16" s="5" t="s">
        <v>83</v>
      </c>
      <c r="C16" s="5" t="s">
        <v>84</v>
      </c>
      <c r="D16" s="6" t="s">
        <v>241</v>
      </c>
    </row>
    <row r="17" spans="1:4">
      <c r="A17" s="5" t="s">
        <v>114</v>
      </c>
      <c r="B17" s="5" t="s">
        <v>115</v>
      </c>
      <c r="C17" s="5" t="s">
        <v>116</v>
      </c>
      <c r="D17" s="6" t="s">
        <v>241</v>
      </c>
    </row>
    <row r="18" spans="1:4">
      <c r="A18" s="5" t="s">
        <v>86</v>
      </c>
      <c r="B18" s="5" t="s">
        <v>120</v>
      </c>
      <c r="C18" s="5" t="s">
        <v>257</v>
      </c>
      <c r="D18" s="6" t="s">
        <v>241</v>
      </c>
    </row>
    <row r="19" spans="1:4">
      <c r="A19" s="5" t="s">
        <v>91</v>
      </c>
      <c r="B19" s="5" t="s">
        <v>92</v>
      </c>
      <c r="C19" s="5" t="s">
        <v>258</v>
      </c>
      <c r="D19" s="6" t="s">
        <v>241</v>
      </c>
    </row>
    <row r="20" spans="1:4">
      <c r="A20" s="5" t="s">
        <v>91</v>
      </c>
      <c r="B20" s="5" t="s">
        <v>124</v>
      </c>
      <c r="C20" s="5" t="s">
        <v>259</v>
      </c>
      <c r="D20" s="6" t="s">
        <v>241</v>
      </c>
    </row>
    <row r="21" spans="1:4">
      <c r="A21" s="5" t="s">
        <v>91</v>
      </c>
      <c r="B21" s="5" t="s">
        <v>95</v>
      </c>
      <c r="C21" s="5" t="s">
        <v>260</v>
      </c>
      <c r="D21" s="6" t="s">
        <v>241</v>
      </c>
    </row>
    <row r="22" spans="1:4">
      <c r="A22" s="5" t="s">
        <v>98</v>
      </c>
      <c r="B22" s="5" t="s">
        <v>127</v>
      </c>
      <c r="C22" s="5" t="s">
        <v>261</v>
      </c>
      <c r="D22" s="6" t="s">
        <v>241</v>
      </c>
    </row>
    <row r="23" spans="1:4">
      <c r="A23" s="5" t="s">
        <v>98</v>
      </c>
      <c r="B23" s="5" t="s">
        <v>130</v>
      </c>
      <c r="C23" s="5" t="s">
        <v>262</v>
      </c>
      <c r="D23" s="6" t="s">
        <v>241</v>
      </c>
    </row>
    <row r="24" spans="1:4">
      <c r="A24" s="5" t="s">
        <v>98</v>
      </c>
      <c r="B24" s="5" t="s">
        <v>133</v>
      </c>
      <c r="C24" s="5" t="s">
        <v>263</v>
      </c>
      <c r="D24" s="6" t="s">
        <v>241</v>
      </c>
    </row>
    <row r="25" spans="1:4">
      <c r="A25" s="5" t="s">
        <v>98</v>
      </c>
      <c r="B25" s="5" t="s">
        <v>99</v>
      </c>
      <c r="C25" s="5" t="s">
        <v>264</v>
      </c>
      <c r="D25" s="6" t="s">
        <v>241</v>
      </c>
    </row>
    <row r="26" spans="1:4">
      <c r="A26" s="5" t="s">
        <v>102</v>
      </c>
      <c r="B26" s="5" t="s">
        <v>103</v>
      </c>
      <c r="C26" s="5" t="s">
        <v>265</v>
      </c>
      <c r="D26" s="6" t="s">
        <v>241</v>
      </c>
    </row>
    <row r="27" spans="1:4">
      <c r="A27" s="5" t="s">
        <v>102</v>
      </c>
      <c r="B27" s="5" t="s">
        <v>136</v>
      </c>
      <c r="C27" s="5" t="s">
        <v>266</v>
      </c>
      <c r="D27" s="6" t="s">
        <v>241</v>
      </c>
    </row>
    <row r="28" spans="1:4">
      <c r="A28" s="5" t="s">
        <v>102</v>
      </c>
      <c r="B28" s="5" t="s">
        <v>139</v>
      </c>
      <c r="C28" s="5" t="s">
        <v>267</v>
      </c>
      <c r="D28" s="6" t="s">
        <v>241</v>
      </c>
    </row>
    <row r="29" spans="1:4">
      <c r="A29" s="5" t="s">
        <v>102</v>
      </c>
      <c r="B29" s="5" t="s">
        <v>142</v>
      </c>
      <c r="C29" s="5" t="s">
        <v>268</v>
      </c>
      <c r="D29" s="6" t="s">
        <v>241</v>
      </c>
    </row>
    <row r="30" spans="1:4">
      <c r="A30" s="5" t="s">
        <v>102</v>
      </c>
      <c r="B30" s="5" t="s">
        <v>145</v>
      </c>
      <c r="C30" s="5" t="s">
        <v>269</v>
      </c>
      <c r="D30" s="6" t="s">
        <v>241</v>
      </c>
    </row>
    <row r="31" spans="1:4">
      <c r="A31" s="5" t="s">
        <v>102</v>
      </c>
      <c r="B31" s="5" t="s">
        <v>148</v>
      </c>
      <c r="C31" s="5" t="s">
        <v>270</v>
      </c>
      <c r="D31" s="6" t="s">
        <v>241</v>
      </c>
    </row>
    <row r="32" spans="1:4">
      <c r="A32" s="5" t="s">
        <v>102</v>
      </c>
      <c r="B32" s="5" t="s">
        <v>150</v>
      </c>
      <c r="C32" s="5" t="s">
        <v>271</v>
      </c>
      <c r="D32" s="6" t="s">
        <v>241</v>
      </c>
    </row>
    <row r="33" spans="1:4">
      <c r="A33" s="5" t="s">
        <v>102</v>
      </c>
      <c r="B33" s="5" t="s">
        <v>153</v>
      </c>
      <c r="C33" s="5" t="s">
        <v>272</v>
      </c>
      <c r="D33" s="6" t="s">
        <v>241</v>
      </c>
    </row>
    <row r="34" spans="1:4">
      <c r="A34" s="5" t="s">
        <v>106</v>
      </c>
      <c r="B34" s="5" t="s">
        <v>107</v>
      </c>
      <c r="C34" s="5" t="s">
        <v>273</v>
      </c>
      <c r="D34" s="6" t="s">
        <v>241</v>
      </c>
    </row>
    <row r="35" spans="1:4">
      <c r="A35" s="5" t="s">
        <v>106</v>
      </c>
      <c r="B35" s="5" t="s">
        <v>156</v>
      </c>
      <c r="C35" s="5" t="s">
        <v>274</v>
      </c>
      <c r="D35" s="6" t="s">
        <v>241</v>
      </c>
    </row>
    <row r="36" spans="1:4" ht="35.75" customHeight="1">
      <c r="A36" s="5" t="s">
        <v>159</v>
      </c>
      <c r="B36" s="5" t="s">
        <v>160</v>
      </c>
      <c r="C36" s="5" t="s">
        <v>275</v>
      </c>
      <c r="D36" s="14" t="s">
        <v>241</v>
      </c>
    </row>
    <row r="37" spans="1:4" ht="35.75" customHeight="1">
      <c r="A37" s="5" t="s">
        <v>159</v>
      </c>
      <c r="B37" s="5" t="s">
        <v>163</v>
      </c>
      <c r="C37" s="5" t="s">
        <v>276</v>
      </c>
      <c r="D37" s="14" t="s">
        <v>241</v>
      </c>
    </row>
    <row r="38" spans="1:4" ht="35.75" customHeight="1">
      <c r="A38" s="5" t="s">
        <v>168</v>
      </c>
      <c r="B38" s="5" t="s">
        <v>169</v>
      </c>
      <c r="C38" s="5" t="s">
        <v>277</v>
      </c>
      <c r="D38" s="14" t="s">
        <v>241</v>
      </c>
    </row>
    <row r="39" spans="1:4" ht="35.75" customHeight="1">
      <c r="A39" s="5" t="s">
        <v>168</v>
      </c>
      <c r="B39" s="5" t="s">
        <v>175</v>
      </c>
      <c r="C39" s="5" t="s">
        <v>278</v>
      </c>
      <c r="D39" s="14" t="s">
        <v>241</v>
      </c>
    </row>
    <row r="40" spans="1:4">
      <c r="A40" t="s">
        <v>281</v>
      </c>
      <c r="B40" t="s">
        <v>282</v>
      </c>
      <c r="C40" t="s">
        <v>291</v>
      </c>
      <c r="D40" t="s">
        <v>241</v>
      </c>
    </row>
    <row r="41" spans="1:4">
      <c r="A41" t="s">
        <v>281</v>
      </c>
      <c r="B41" t="s">
        <v>286</v>
      </c>
      <c r="C41" t="s">
        <v>292</v>
      </c>
      <c r="D41" t="s">
        <v>241</v>
      </c>
    </row>
  </sheetData>
  <phoneticPr fontId="15"/>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 ref="D17" r:id="rId16" xr:uid="{00000000-0004-0000-0300-00000F000000}"/>
    <hyperlink ref="D18" r:id="rId17" xr:uid="{00000000-0004-0000-0300-000010000000}"/>
    <hyperlink ref="D19" r:id="rId18" xr:uid="{00000000-0004-0000-0300-000011000000}"/>
    <hyperlink ref="D20" r:id="rId19" xr:uid="{00000000-0004-0000-0300-000012000000}"/>
    <hyperlink ref="D21" r:id="rId20" xr:uid="{00000000-0004-0000-0300-000013000000}"/>
    <hyperlink ref="D22" r:id="rId21" xr:uid="{00000000-0004-0000-0300-000014000000}"/>
    <hyperlink ref="D23" r:id="rId22" xr:uid="{00000000-0004-0000-0300-000015000000}"/>
    <hyperlink ref="D24" r:id="rId23" xr:uid="{00000000-0004-0000-0300-000016000000}"/>
    <hyperlink ref="D25" r:id="rId24" xr:uid="{00000000-0004-0000-0300-000017000000}"/>
    <hyperlink ref="D26" r:id="rId25" xr:uid="{00000000-0004-0000-0300-000018000000}"/>
    <hyperlink ref="D27" r:id="rId26" xr:uid="{00000000-0004-0000-0300-000019000000}"/>
    <hyperlink ref="D28" r:id="rId27" xr:uid="{00000000-0004-0000-0300-00001A000000}"/>
    <hyperlink ref="D29" r:id="rId28" xr:uid="{00000000-0004-0000-0300-00001B000000}"/>
    <hyperlink ref="D30" r:id="rId29" xr:uid="{00000000-0004-0000-0300-00001C000000}"/>
    <hyperlink ref="D31" r:id="rId30" xr:uid="{00000000-0004-0000-0300-00001D000000}"/>
    <hyperlink ref="D32" r:id="rId31" xr:uid="{00000000-0004-0000-0300-00001E000000}"/>
    <hyperlink ref="D33" r:id="rId32" xr:uid="{00000000-0004-0000-0300-00001F000000}"/>
    <hyperlink ref="D34" r:id="rId33" xr:uid="{00000000-0004-0000-0300-000020000000}"/>
    <hyperlink ref="D35" r:id="rId34" xr:uid="{00000000-0004-0000-0300-000021000000}"/>
    <hyperlink ref="D36" r:id="rId35" xr:uid="{00000000-0004-0000-0300-000022000000}"/>
    <hyperlink ref="D37" r:id="rId36" xr:uid="{00000000-0004-0000-0300-000023000000}"/>
    <hyperlink ref="D38" r:id="rId37" xr:uid="{00000000-0004-0000-0300-000024000000}"/>
    <hyperlink ref="D39" r:id="rId38" xr:uid="{00000000-0004-0000-0300-00002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概要</vt:lpstr>
      <vt:lpstr>見積対象内</vt:lpstr>
      <vt:lpstr>見積対象外</vt:lpstr>
      <vt:lpstr>メール一覧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仁 矢吹</cp:lastModifiedBy>
  <dcterms:modified xsi:type="dcterms:W3CDTF">2026-07-22T00:30:28Z</dcterms:modified>
</cp:coreProperties>
</file>